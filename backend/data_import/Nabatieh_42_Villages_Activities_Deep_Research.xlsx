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db9c2580ee40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5c3cd5005f184959"/>
    <x:sheet xmlns:r="http://schemas.openxmlformats.org/officeDocument/2006/relationships" name="Village Summary" sheetId="2" r:id="R86c5debb2d2e4a11"/>
    <x:sheet xmlns:r="http://schemas.openxmlformats.org/officeDocument/2006/relationships" name="Activities" sheetId="3" r:id="R7e1b266fd5324b18"/>
    <x:sheet xmlns:r="http://schemas.openxmlformats.org/officeDocument/2006/relationships" name="Input Mapping" sheetId="4" r:id="Rfa9050c4c4e94c83"/>
    <x:sheet xmlns:r="http://schemas.openxmlformats.org/officeDocument/2006/relationships" name="Research Gaps" sheetId="5" r:id="R67b9a12d3d374c38"/>
    <x:sheet xmlns:r="http://schemas.openxmlformats.org/officeDocument/2006/relationships" name="Method &amp; Sources" sheetId="6" r:id="Rd7adcca5123b43b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"/>
    <x:numFmt numFmtId="201" formatCode="0"/>
  </x:numFmts>
  <x:fonts count="4">
    <x:font>
      <x:sz val="11"/>
      <x:name val="Carlito"/>
    </x:font>
    <x:font>
      <x:b/>
      <x:sz val="18"/>
      <x:color rgb="FFFFFFFF"/>
      <x:name val="Carlito"/>
    </x:font>
    <x:font>
      <x:i/>
      <x:sz val="11"/>
      <x:color rgb="FF24423A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24423A"/>
      </x:patternFill>
    </x:fill>
    <x:fill>
      <x:patternFill patternType="solid">
        <x:fgColor rgb="FFDDEAE6"/>
      </x:patternFill>
    </x:fill>
    <x:fill>
      <x:patternFill patternType="solid">
        <x:fgColor rgb="FF376F62"/>
      </x:patternFill>
    </x:fill>
  </x:fills>
  <x:borders count="2">
    <x:border/>
    <x:border/>
  </x:borders>
  <x:cellStyleXfs count="1">
    <x:xf numFmtId="0" fontId="0" fillId="0" borderId="0"/>
  </x:cellStyleXfs>
  <x:cellXfs count="3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5">
    <x:dxf>
      <x:font>
        <x:b/>
      </x:font>
      <x:fill>
        <x:patternFill patternType="solid">
          <x:bgColor rgb="FFD9EAD3"/>
        </x:patternFill>
      </x:fill>
    </x:dxf>
    <x:dxf>
      <x:fill>
        <x:patternFill patternType="solid">
          <x:bgColor rgb="FFDDEBF7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989fdfb55f24269" /><Relationship Type="http://schemas.openxmlformats.org/officeDocument/2006/relationships/theme" Target="/xl/theme/theme1.xml" Id="R3e35bebb70334b48" /><Relationship Type="http://schemas.openxmlformats.org/officeDocument/2006/relationships/sharedStrings" Target="/xl/sharedStrings.xml" Id="Raa00ed735d184d2b" /><Relationship Type="http://schemas.openxmlformats.org/officeDocument/2006/relationships/worksheet" Target="/xl/worksheets/sheet1.xml" Id="R5c3cd5005f184959" /><Relationship Type="http://schemas.openxmlformats.org/officeDocument/2006/relationships/worksheet" Target="/xl/worksheets/sheet2.xml" Id="R86c5debb2d2e4a11" /><Relationship Type="http://schemas.openxmlformats.org/officeDocument/2006/relationships/worksheet" Target="/xl/worksheets/sheet3.xml" Id="R7e1b266fd5324b18" /><Relationship Type="http://schemas.openxmlformats.org/officeDocument/2006/relationships/worksheet" Target="/xl/worksheets/sheet4.xml" Id="Rfa9050c4c4e94c83" /><Relationship Type="http://schemas.openxmlformats.org/officeDocument/2006/relationships/worksheet" Target="/xl/worksheets/sheet5.xml" Id="R67b9a12d3d374c38" /><Relationship Type="http://schemas.openxmlformats.org/officeDocument/2006/relationships/worksheet" Target="/xl/worksheets/sheet6.xml" Id="Rd7adcca5123b43b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944e75a4c764f1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Activity coverage by category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Count</c:v>
          </c:tx>
          <c:cat>
            <c:strRef>
              <c:f>'Overview'!$G$5:$G$11</c:f>
              <c:strCache>
                <c:ptCount val="0"/>
              </c:strCache>
            </c:strRef>
          </c:cat>
          <c:val>
            <c:numRef>
              <c:f>'Overview'!$H$5:$H$11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13</xdr:row>
      <xdr:rowOff>0</xdr:rowOff>
    </xdr:from>
    <xdr:to>
      <xdr:col>8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944e75a4c764f16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2" name="ActivitiesVillageSummary" displayName="ActivitiesVillageSummary" ref="A1:I41" headerRowCount="1" totalsRowCount="0" totalsRowShown="0">
  <x:tableColumns count="9">
    <x:tableColumn id="1" name="Canonical Locality"/>
    <x:tableColumn id="2" name="Official / Common Name"/>
    <x:tableColumn id="3" name="Current / Active"/>
    <x:tableColumn id="4" name="Heritage / Nature"/>
    <x:tableColumn id="5" name="Closed / Conflict"/>
    <x:tableColumn id="6" name="Total Activities"/>
    <x:tableColumn id="7" name="Research Status"/>
    <x:tableColumn id="8" name="Top Activity Types"/>
    <x:tableColumn id="9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ActivitiesTable" displayName="ActivitiesTable" ref="A1:T100" headerRowCount="1" totalsRowCount="0" totalsRowShown="0">
  <x:tableColumns count="20">
    <x:tableColumn id="1" name="ID"/>
    <x:tableColumn id="2" name="Canonical Locality"/>
    <x:tableColumn id="3" name="Activity / Place"/>
    <x:tableColumn id="4" name="Category"/>
    <x:tableColumn id="5" name="Category Group"/>
    <x:tableColumn id="6" name="Status"/>
    <x:tableColumn id="7" name="What You Can Do"/>
    <x:tableColumn id="8" name="Address / Area"/>
    <x:tableColumn id="9" name="Phone"/>
    <x:tableColumn id="10" name="Rating"/>
    <x:tableColumn id="11" name="Reviews"/>
    <x:tableColumn id="12" name="Hours"/>
    <x:tableColumn id="13" name="Public Access"/>
    <x:tableColumn id="14" name="Confidence"/>
    <x:tableColumn id="15" name="Locality Match"/>
    <x:tableColumn id="16" name="Evidence Source"/>
    <x:tableColumn id="17" name="Source URL"/>
    <x:tableColumn id="18" name="Map / Search Link"/>
    <x:tableColumn id="19" name="Notes"/>
    <x:tableColumn id="20" name="Last Checked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ActivitiesInputMapping" displayName="ActivitiesInputMapping" ref="A1:D43" headerRowCount="1" totalsRowCount="0" totalsRowShown="0">
  <x:tableColumns count="4">
    <x:tableColumn id="1" name="Original #"/>
    <x:tableColumn id="2" name="Original User Entry"/>
    <x:tableColumn id="3" name="Canonical Research Unit"/>
    <x:tableColumn id="4" name="Normalization Not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ActivitiesResearchGaps" displayName="ActivitiesResearchGaps" ref="A1:D13" headerRowCount="1" totalsRowCount="0" totalsRowShown="0">
  <x:tableColumns count="4">
    <x:tableColumn id="1" name="Canonical Locality"/>
    <x:tableColumn id="2" name="Current Result"/>
    <x:tableColumn id="3" name="Interpretation"/>
    <x:tableColumn id="4" name="Research Not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ActivitiesSources" displayName="ActivitiesSources" ref="A1:D11" headerRowCount="1" totalsRowCount="0" totalsRowShown="0">
  <x:tableColumns count="4">
    <x:tableColumn id="1" name="Source / Source Class"/>
    <x:tableColumn id="2" name="URL"/>
    <x:tableColumn id="3" name="Use in Research"/>
    <x:tableColumn id="4" name="Important Limita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ec4d6e227f4c4f7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17d4b8351984df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30ee87ddd46484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24935feb56d4f5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8a6e199ba6741c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11db3cada434cb3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4" hidden="0" customWidth="1"/>
    <x:col min="4" max="4" width="28" hidden="0" customWidth="1"/>
    <x:col min="5" max="5" width="16" hidden="0" customWidth="1"/>
    <x:col min="7" max="7" width="27" hidden="0" customWidth="1"/>
    <x:col min="8" max="8" width="16" hidden="0" customWidth="1"/>
  </x:cols>
  <x:sheetData>
    <x:row r="1">
      <x:c r="A1" s="5" t="str">
        <x:v>Nabatieh District — Activities &amp; Things to Do Deep Research</x:v>
      </x:c>
      <x:c r="B1" s="5"/>
      <x:c r="C1" s="5"/>
      <x:c r="D1" s="5"/>
      <x:c r="E1" s="5"/>
      <x:c r="F1" s="5"/>
      <x:c r="G1" s="5"/>
      <x:c r="H1" s="5"/>
    </x:row>
    <x:row r="2">
      <x:c r="A2" s="12" t="str">
        <x:v>42 user entries normalized to 40 distinct research units | Public evidence checked 7 September 2026</x:v>
      </x:c>
      <x:c r="B2" s="12"/>
      <x:c r="C2" s="12"/>
      <x:c r="D2" s="12"/>
      <x:c r="E2" s="12"/>
      <x:c r="F2" s="12"/>
      <x:c r="G2" s="12"/>
      <x:c r="H2" s="12"/>
    </x:row>
    <x:row r="4">
      <x:c r="A4" s="30" t="str">
        <x:v>Scope</x:v>
      </x:c>
      <x:c r="B4" s="30" t="str">
        <x:v>Parks, pools/resorts, hiking/nature, heritage, sports, playgrounds, shopping/entertainment, cultural and family activities.</x:v>
      </x:c>
      <x:c r="C4" s="30"/>
      <x:c r="D4" s="26" t="str">
        <x:v>KPI</x:v>
      </x:c>
      <x:c r="E4" s="26" t="str">
        <x:v>Value</x:v>
      </x:c>
      <x:c r="F4" s="30"/>
      <x:c r="G4" s="26" t="str">
        <x:v>Category group</x:v>
      </x:c>
      <x:c r="H4" s="26" t="str">
        <x:v>Count</x:v>
      </x:c>
    </x:row>
    <x:row r="5">
      <x:c r="A5" s="30" t="str">
        <x:v>Geographic rule</x:v>
      </x:c>
      <x:c r="B5" s="30" t="str">
        <x:v>A place is assigned only when evidence ties it to that village/sub-area; nearby results are excluded.</x:v>
      </x:c>
      <x:c r="C5" s="30"/>
      <x:c r="D5" s="30" t="str">
        <x:v>Original input entries</x:v>
      </x:c>
      <x:c r="E5" s="30" t="n">
        <x:v>42</x:v>
      </x:c>
      <x:c r="F5" s="30"/>
      <x:c r="G5" s="30" t="str">
        <x:v>Nature / Hiking</x:v>
      </x:c>
      <x:c r="H5" s="30" t="n">
        <x:f>COUNTIF('Activities'!E2:E100,"Nature / Hiking")</x:f>
        <x:v>25</x:v>
      </x:c>
    </x:row>
    <x:row r="6">
      <x:c r="A6" s="30" t="str">
        <x:v>Normalization</x:v>
      </x:c>
      <x:c r="B6" s="30" t="str">
        <x:v>Duplicate Ain Qana merged; Roumine/Rumine merged; Nabatieh Al-Tahta kept as a sub-area.</x:v>
      </x:c>
      <x:c r="C6" s="30"/>
      <x:c r="D6" s="30" t="str">
        <x:v>Canonical research units</x:v>
      </x:c>
      <x:c r="E6" s="30" t="n">
        <x:f>COUNTA('Village Summary'!A2:A41)</x:f>
        <x:v>40</x:v>
      </x:c>
      <x:c r="F6" s="30"/>
      <x:c r="G6" s="30" t="str">
        <x:v>Heritage / Culture</x:v>
      </x:c>
      <x:c r="H6" s="30" t="n">
        <x:f>COUNTIF('Activities'!E2:E100,"Heritage / Culture")</x:f>
        <x:v>22</x:v>
      </x:c>
    </x:row>
    <x:row r="7">
      <x:c r="A7" s="30" t="str">
        <x:v>Restaurants / cafés</x:v>
      </x:c>
      <x:c r="B7" s="30" t="str">
        <x:v>Not repeated here unless the venue itself provides a meaningful activity (pool, resort, playground, etc.).</x:v>
      </x:c>
      <x:c r="C7" s="30"/>
      <x:c r="D7" s="30" t="str">
        <x:v>Activity / place records</x:v>
      </x:c>
      <x:c r="E7" s="30" t="n">
        <x:f>COUNTA('Activities'!C2:C100)</x:f>
        <x:v>99</x:v>
      </x:c>
      <x:c r="F7" s="30"/>
      <x:c r="G7" s="30" t="str">
        <x:v>Sports / Fitness</x:v>
      </x:c>
      <x:c r="H7" s="30" t="n">
        <x:f>COUNTIF('Activities'!E2:E100,"Sports / Fitness")</x:f>
        <x:v>25</x:v>
      </x:c>
    </x:row>
    <x:row r="8">
      <x:c r="A8" s="30" t="str">
        <x:v>Historical sources</x:v>
      </x:c>
      <x:c r="B8" s="30" t="str">
        <x:v>Older tourism sources are used only for long-lived natural/heritage features and are clearly labeled for access verification.</x:v>
      </x:c>
      <x:c r="C8" s="30"/>
      <x:c r="D8" s="30" t="str">
        <x:v>Units with activities found</x:v>
      </x:c>
      <x:c r="E8" s="30" t="n">
        <x:f>COUNTIF('Village Summary'!G2:G41,"Activities found")</x:f>
        <x:v>28</x:v>
      </x:c>
      <x:c r="F8" s="30"/>
      <x:c r="G8" s="30" t="str">
        <x:v>Parks / Family</x:v>
      </x:c>
      <x:c r="H8" s="30" t="n">
        <x:f>COUNTIF('Activities'!E2:E100,"Parks / Family")</x:f>
        <x:v>16</x:v>
      </x:c>
    </x:row>
    <x:row r="9">
      <x:c r="A9" s="30" t="str">
        <x:v>Current businesses</x:v>
      </x:c>
      <x:c r="B9" s="30" t="str">
        <x:v>Hours, ratings and closure status are based on current public listings where available.</x:v>
      </x:c>
      <x:c r="C9" s="30"/>
      <x:c r="D9" s="30" t="str">
        <x:v>Units with no named activity verified</x:v>
      </x:c>
      <x:c r="E9" s="30" t="n">
        <x:f>COUNTIF('Village Summary'!G2:G41,"No named public activity verified")</x:f>
        <x:v>12</x:v>
      </x:c>
      <x:c r="F9" s="30"/>
      <x:c r="G9" s="30" t="str">
        <x:v>Resorts / Pools</x:v>
      </x:c>
      <x:c r="H9" s="30" t="n">
        <x:f>COUNTIF('Activities'!E2:E100,"Resorts / Pools")</x:f>
        <x:v>7</x:v>
      </x:c>
    </x:row>
    <x:row r="10">
      <x:c r="A10" s="30" t="str">
        <x:v>Gaps</x:v>
      </x:c>
      <x:c r="B10" s="30" t="str">
        <x:v>No public listing does not prove that a village has no local activity; it may be unindexed or informal.</x:v>
      </x:c>
      <x:c r="C10" s="30"/>
      <x:c r="D10" s="30" t="str">
        <x:v>Current / active records</x:v>
      </x:c>
      <x:c r="E10" s="30" t="n">
        <x:f>COUNTIF('Activities'!F2:F100,"Active - verified")+COUNTIF('Activities'!F2:F100,"Active listing")+COUNTIF('Activities'!F2:F100,"Current public garden")+COUNTIF('Activities'!F2:F100,"Current directory listing")+COUNTIF('Activities'!F2:F100,"Current project / community facility")+COUNTIF('Activities'!F2:F100,"Current trail evidence")</x:f>
        <x:v>52</x:v>
      </x:c>
      <x:c r="F10" s="30"/>
      <x:c r="G10" s="30" t="str">
        <x:v>Shopping / Entertainment</x:v>
      </x:c>
      <x:c r="H10" s="30" t="n">
        <x:f>COUNTIF('Activities'!E2:E100,"Shopping / Entertainment")</x:f>
        <x:v>4</x:v>
      </x:c>
    </x:row>
    <x:row r="11">
      <x:c r="A11" s="30" t="str">
        <x:v>Use</x:v>
      </x:c>
      <x:c r="B11" s="30" t="str">
        <x:v>Useful as a lead database for tourism research, local discovery, field verification and future directory building.</x:v>
      </x:c>
      <x:c r="C11" s="30"/>
      <x:c r="D11" s="30" t="str">
        <x:v>Closed / status-conflict records</x:v>
      </x:c>
      <x:c r="E11" s="30" t="n">
        <x:f>COUNTIF('Activities'!F2:F100,"Permanently closed")+COUNTIF('Activities'!F2:F100,"Temporarily closed")+COUNTIF('Activities'!F2:F100,"Status conflict")</x:f>
        <x:v>6</x:v>
      </x:c>
      <x:c r="F11" s="30"/>
      <x:c r="G11" s="30" t="str">
        <x:v>Other</x:v>
      </x:c>
      <x:c r="H11" s="30" t="n">
        <x:f>COUNTIF('Activities'!E2:E100,"Other")</x:f>
        <x:v>0</x:v>
      </x:c>
    </x:row>
    <x:row r="12">
      <x:c r="A12" s="30"/>
      <x:c r="B12" s="30"/>
      <x:c r="C12" s="30"/>
      <x:c r="D12" s="30"/>
      <x:c r="E12" s="30"/>
      <x:c r="F12" s="30"/>
      <x:c r="G12" s="30" t="str">
        <x:v>Research units with gaps</x:v>
      </x:c>
      <x:c r="H12" s="30" t="n">
        <x:f>COUNTIF('Village Summary'!G2:G41,"No named public activity verified")</x:f>
        <x:v>12</x:v>
      </x:c>
    </x:row>
    <x:row r="13">
      <x:c r="A13" s="30"/>
      <x:c r="B13" s="30"/>
      <x:c r="C13" s="30"/>
      <x:c r="D13" s="30"/>
      <x:c r="E13" s="30"/>
      <x:c r="F13" s="30"/>
      <x:c r="G13" s="30"/>
      <x:c r="H13" s="30"/>
    </x:row>
    <x:row r="14">
      <x:c r="A14" s="26" t="str">
        <x:v>Status guide</x:v>
      </x:c>
      <x:c r="B14" s="26" t="str">
        <x:v>Meaning</x:v>
      </x:c>
      <x:c r="C14" s="30"/>
      <x:c r="D14" s="30"/>
      <x:c r="E14" s="30"/>
      <x:c r="F14" s="30"/>
      <x:c r="G14" s="30"/>
      <x:c r="H14" s="30"/>
    </x:row>
    <x:row r="15">
      <x:c r="A15" s="30" t="str">
        <x:v>Active - verified</x:v>
      </x:c>
      <x:c r="B15" s="30" t="str">
        <x:v>Current exact-location public/business evidence.</x:v>
      </x:c>
      <x:c r="C15" s="30"/>
      <x:c r="D15" s="30"/>
      <x:c r="E15" s="30"/>
      <x:c r="F15" s="30"/>
      <x:c r="G15" s="30"/>
      <x:c r="H15" s="30"/>
    </x:row>
    <x:row r="16">
      <x:c r="A16" s="30" t="str">
        <x:v>Active listing / current garden</x:v>
      </x:c>
      <x:c r="B16" s="30" t="str">
        <x:v>Current public listing with exact locality.</x:v>
      </x:c>
      <x:c r="C16" s="30"/>
      <x:c r="D16" s="30"/>
      <x:c r="E16" s="30"/>
      <x:c r="F16" s="30"/>
      <x:c r="G16" s="30"/>
      <x:c r="H16" s="30"/>
    </x:row>
    <x:row r="17">
      <x:c r="A17" s="30" t="str">
        <x:v>Current trail evidence</x:v>
      </x:c>
      <x:c r="B17" s="30" t="str">
        <x:v>Current route evidence; trail conditions still need local judgment.</x:v>
      </x:c>
      <x:c r="C17" s="30"/>
      <x:c r="D17" s="30"/>
      <x:c r="E17" s="30"/>
      <x:c r="F17" s="30"/>
      <x:c r="G17" s="30"/>
      <x:c r="H17" s="30"/>
    </x:row>
    <x:row r="18">
      <x:c r="A18" s="30" t="str">
        <x:v>Timeless / verify access</x:v>
      </x:c>
      <x:c r="B18" s="30" t="str">
        <x:v>Natural or heritage feature is documented, but access/condition should be checked before visiting.</x:v>
      </x:c>
      <x:c r="C18" s="30"/>
      <x:c r="D18" s="30"/>
      <x:c r="E18" s="30"/>
      <x:c r="F18" s="30"/>
      <x:c r="G18" s="30"/>
      <x:c r="H18" s="30"/>
    </x:row>
    <x:row r="19">
      <x:c r="A19" s="30" t="str">
        <x:v>Project - verify completion</x:v>
      </x:c>
      <x:c r="B19" s="30" t="str">
        <x:v>A documented project/facility whose final opening or public access still needs confirmation.</x:v>
      </x:c>
      <x:c r="C19" s="30"/>
      <x:c r="D19" s="30"/>
      <x:c r="E19" s="30"/>
      <x:c r="F19" s="30"/>
      <x:c r="G19" s="30"/>
      <x:c r="H19" s="30"/>
    </x:row>
    <x:row r="20">
      <x:c r="A20" s="30" t="str">
        <x:v>Temporarily / permanently closed</x:v>
      </x:c>
      <x:c r="B20" s="30" t="str">
        <x:v>Current listing explicitly reports closure.</x:v>
      </x:c>
      <x:c r="C20" s="30"/>
      <x:c r="D20" s="30"/>
      <x:c r="E20" s="30"/>
      <x:c r="F20" s="30"/>
      <x:c r="G20" s="30"/>
      <x:c r="H20" s="30"/>
    </x:row>
    <x:row r="21">
      <x:c r="A21" s="30" t="str">
        <x:v>Status conflict</x:v>
      </x:c>
      <x:c r="B21" s="30" t="str">
        <x:v>Current sources disagree; direct verification is recommended.</x:v>
      </x:c>
      <x:c r="C21" s="30"/>
      <x:c r="D21" s="30"/>
      <x:c r="E21" s="30"/>
      <x:c r="F21" s="30"/>
      <x:c r="G21" s="30"/>
      <x:c r="H21" s="30"/>
    </x:row>
  </x:sheetData>
  <x:mergeCells>
    <x:mergeCell ref="A1:H1"/>
    <x:mergeCell ref="A2:H2"/>
  </x:mergeCells>
  <x:pageMargins left="0.7" right="0.7" top="0.75" bottom="0.75" header="0.3" footer="0.3"/>
  <x:drawing xmlns:r="http://schemas.openxmlformats.org/officeDocument/2006/relationships" r:id="Rec4d6e227f4c4f71"/>
</x:worksheet>
</file>

<file path=xl/worksheets/sheet2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32" hidden="0" customWidth="1"/>
    <x:col min="3" max="3" width="15" hidden="0" customWidth="1"/>
    <x:col min="4" max="4" width="16" hidden="0" customWidth="1"/>
    <x:col min="5" max="5" width="18" hidden="0" customWidth="1"/>
    <x:col min="6" max="6" width="15" hidden="0" customWidth="1"/>
    <x:col min="7" max="7" width="29" hidden="0" customWidth="1"/>
    <x:col min="8" max="8" width="40" hidden="0" customWidth="1"/>
    <x:col min="9" max="9" width="60" hidden="0" customWidth="1"/>
  </x:cols>
  <x:sheetData>
    <x:row r="1">
      <x:c r="A1" s="26" t="str">
        <x:v>Canonical Locality</x:v>
      </x:c>
      <x:c r="B1" s="26" t="str">
        <x:v>Official / Common Name</x:v>
      </x:c>
      <x:c r="C1" s="26" t="str">
        <x:v>Current / Active</x:v>
      </x:c>
      <x:c r="D1" s="26" t="str">
        <x:v>Heritage / Nature</x:v>
      </x:c>
      <x:c r="E1" s="26" t="str">
        <x:v>Closed / Conflict</x:v>
      </x:c>
      <x:c r="F1" s="26" t="str">
        <x:v>Total Activities</x:v>
      </x:c>
      <x:c r="G1" s="26" t="str">
        <x:v>Research Status</x:v>
      </x:c>
      <x:c r="H1" s="26" t="str">
        <x:v>Top Activity Types</x:v>
      </x:c>
      <x:c r="I1" s="26" t="str">
        <x:v>Notes</x:v>
      </x:c>
    </x:row>
    <x:row r="2">
      <x:c r="A2" s="30" t="str">
        <x:v>Adchit</x:v>
      </x:c>
      <x:c r="B2" s="30" t="str">
        <x:v>Aadchit ech Chqif / Adchit</x:v>
      </x:c>
      <x:c r="C2" s="30" t="n">
        <x:f>COUNTIFS('Activities'!$B$2:$B$100,A2,'Activities'!$F$2:$F$100,"Active - verified")+COUNTIFS('Activities'!$B$2:$B$100,A2,'Activities'!$F$2:$F$100,"Active listing")+COUNTIFS('Activities'!$B$2:$B$100,A2,'Activities'!$F$2:$F$100,"Current public garden")+COUNTIFS('Activities'!$B$2:$B$100,A2,'Activities'!$F$2:$F$100,"Current directory listing")+COUNTIFS('Activities'!$B$2:$B$100,A2,'Activities'!$F$2:$F$100,"Current project / community facility")+COUNTIFS('Activities'!$B$2:$B$100,A2,'Activities'!$F$2:$F$100,"Current trail evidence")</x:f>
        <x:v>0</x:v>
      </x:c>
      <x:c r="D2" s="30" t="n">
        <x:f>COUNTIFS('Activities'!$B$2:$B$100,A2,'Activities'!$F$2:$F$100,"Timeless / verify access")+COUNTIFS('Activities'!$B$2:$B$100,A2,'Activities'!$F$2:$F$100,"Heritage site - verify current access")+COUNTIFS('Activities'!$B$2:$B$100,A2,'Activities'!$F$2:$F$100,"Timeless / current urban feature")+COUNTIFS('Activities'!$B$2:$B$100,A2,'Activities'!$F$2:$F$100,"Recurring tradition - verify current edition")+COUNTIFS('Activities'!$B$2:$B$100,A2,'Activities'!$F$2:$F$100,"Historical / verify current operation")</x:f>
        <x:v>0</x:v>
      </x:c>
      <x:c r="E2" s="30" t="n">
        <x:f>COUNTIFS('Activities'!$B$2:$B$100,A2,'Activities'!$F$2:$F$100,"Permanently closed")+COUNTIFS('Activities'!$B$2:$B$100,A2,'Activities'!$F$2:$F$100,"Temporarily closed")+COUNTIFS('Activities'!$B$2:$B$100,A2,'Activities'!$F$2:$F$100,"Status conflict")</x:f>
        <x:v>0</x:v>
      </x:c>
      <x:c r="F2" s="30" t="n">
        <x:f>COUNTIF('Activities'!$B$2:$B$100,A2)</x:f>
        <x:v>0</x:v>
      </x:c>
      <x:c r="G2" s="30" t="str">
        <x:f>IF(F2=0,"No named public activity verified","Activities found")</x:f>
        <x:v>No named public activity verified</x:v>
      </x:c>
      <x:c r="H2" s="30" t="str"/>
      <x:c r="I2" s="30" t="str">
        <x:v>No separate public activity venue was verified beyond restaurant/café businesses. Nearby Beaufort attractions belong to Arnoun.</x:v>
      </x:c>
    </x:row>
    <x:row r="3">
      <x:c r="A3" s="30" t="str">
        <x:v>Ain Qana</x:v>
      </x:c>
      <x:c r="B3" s="30" t="str">
        <x:v>Ain Qana</x:v>
      </x:c>
      <x:c r="C3" s="30" t="n">
        <x:f>COUNTIFS('Activities'!$B$2:$B$100,A3,'Activities'!$F$2:$F$100,"Active - verified")+COUNTIFS('Activities'!$B$2:$B$100,A3,'Activities'!$F$2:$F$100,"Active listing")+COUNTIFS('Activities'!$B$2:$B$100,A3,'Activities'!$F$2:$F$100,"Current public garden")+COUNTIFS('Activities'!$B$2:$B$100,A3,'Activities'!$F$2:$F$100,"Current directory listing")+COUNTIFS('Activities'!$B$2:$B$100,A3,'Activities'!$F$2:$F$100,"Current project / community facility")+COUNTIFS('Activities'!$B$2:$B$100,A3,'Activities'!$F$2:$F$100,"Current trail evidence")</x:f>
        <x:v>1</x:v>
      </x:c>
      <x:c r="D3" s="30" t="n">
        <x:f>COUNTIFS('Activities'!$B$2:$B$100,A3,'Activities'!$F$2:$F$100,"Timeless / verify access")+COUNTIFS('Activities'!$B$2:$B$100,A3,'Activities'!$F$2:$F$100,"Heritage site - verify current access")+COUNTIFS('Activities'!$B$2:$B$100,A3,'Activities'!$F$2:$F$100,"Timeless / current urban feature")+COUNTIFS('Activities'!$B$2:$B$100,A3,'Activities'!$F$2:$F$100,"Recurring tradition - verify current edition")+COUNTIFS('Activities'!$B$2:$B$100,A3,'Activities'!$F$2:$F$100,"Historical / verify current operation")</x:f>
        <x:v>7</x:v>
      </x:c>
      <x:c r="E3" s="30" t="n">
        <x:f>COUNTIFS('Activities'!$B$2:$B$100,A3,'Activities'!$F$2:$F$100,"Permanently closed")+COUNTIFS('Activities'!$B$2:$B$100,A3,'Activities'!$F$2:$F$100,"Temporarily closed")+COUNTIFS('Activities'!$B$2:$B$100,A3,'Activities'!$F$2:$F$100,"Status conflict")</x:f>
        <x:v>0</x:v>
      </x:c>
      <x:c r="F3" s="30" t="n">
        <x:f>COUNTIF('Activities'!$B$2:$B$100,A3)</x:f>
        <x:v>8</x:v>
      </x:c>
      <x:c r="G3" s="30" t="str">
        <x:f>IF(F3=0,"No named public activity verified","Activities found")</x:f>
        <x:v>Activities found</x:v>
      </x:c>
      <x:c r="H3" s="30" t="str">
        <x:v>Nature / Hiking</x:v>
      </x:c>
      <x:c r="I3" s="30" t="str"/>
    </x:row>
    <x:row r="4">
      <x:c r="A4" s="30" t="str">
        <x:v>Ansar</x:v>
      </x:c>
      <x:c r="B4" s="30" t="str">
        <x:v>Insar / Ansar</x:v>
      </x:c>
      <x:c r="C4" s="30" t="n">
        <x:f>COUNTIFS('Activities'!$B$2:$B$100,A4,'Activities'!$F$2:$F$100,"Active - verified")+COUNTIFS('Activities'!$B$2:$B$100,A4,'Activities'!$F$2:$F$100,"Active listing")+COUNTIFS('Activities'!$B$2:$B$100,A4,'Activities'!$F$2:$F$100,"Current public garden")+COUNTIFS('Activities'!$B$2:$B$100,A4,'Activities'!$F$2:$F$100,"Current directory listing")+COUNTIFS('Activities'!$B$2:$B$100,A4,'Activities'!$F$2:$F$100,"Current project / community facility")+COUNTIFS('Activities'!$B$2:$B$100,A4,'Activities'!$F$2:$F$100,"Current trail evidence")</x:f>
        <x:v>2</x:v>
      </x:c>
      <x:c r="D4" s="30" t="n">
        <x:f>COUNTIFS('Activities'!$B$2:$B$100,A4,'Activities'!$F$2:$F$100,"Timeless / verify access")+COUNTIFS('Activities'!$B$2:$B$100,A4,'Activities'!$F$2:$F$100,"Heritage site - verify current access")+COUNTIFS('Activities'!$B$2:$B$100,A4,'Activities'!$F$2:$F$100,"Timeless / current urban feature")+COUNTIFS('Activities'!$B$2:$B$100,A4,'Activities'!$F$2:$F$100,"Recurring tradition - verify current edition")+COUNTIFS('Activities'!$B$2:$B$100,A4,'Activities'!$F$2:$F$100,"Historical / verify current operation")</x:f>
        <x:v>0</x:v>
      </x:c>
      <x:c r="E4" s="30" t="n">
        <x:f>COUNTIFS('Activities'!$B$2:$B$100,A4,'Activities'!$F$2:$F$100,"Permanently closed")+COUNTIFS('Activities'!$B$2:$B$100,A4,'Activities'!$F$2:$F$100,"Temporarily closed")+COUNTIFS('Activities'!$B$2:$B$100,A4,'Activities'!$F$2:$F$100,"Status conflict")</x:f>
        <x:v>0</x:v>
      </x:c>
      <x:c r="F4" s="30" t="n">
        <x:f>COUNTIF('Activities'!$B$2:$B$100,A4)</x:f>
        <x:v>2</x:v>
      </x:c>
      <x:c r="G4" s="30" t="str">
        <x:f>IF(F4=0,"No named public activity verified","Activities found")</x:f>
        <x:v>Activities found</x:v>
      </x:c>
      <x:c r="H4" s="30" t="str">
        <x:v>Parks / Family</x:v>
      </x:c>
      <x:c r="I4" s="30" t="str"/>
    </x:row>
    <x:row r="5">
      <x:c r="A5" s="30" t="str">
        <x:v>Arabsalim</x:v>
      </x:c>
      <x:c r="B5" s="30" t="str">
        <x:v>Arab Salim</x:v>
      </x:c>
      <x:c r="C5" s="30" t="n">
        <x:f>COUNTIFS('Activities'!$B$2:$B$100,A5,'Activities'!$F$2:$F$100,"Active - verified")+COUNTIFS('Activities'!$B$2:$B$100,A5,'Activities'!$F$2:$F$100,"Active listing")+COUNTIFS('Activities'!$B$2:$B$100,A5,'Activities'!$F$2:$F$100,"Current public garden")+COUNTIFS('Activities'!$B$2:$B$100,A5,'Activities'!$F$2:$F$100,"Current directory listing")+COUNTIFS('Activities'!$B$2:$B$100,A5,'Activities'!$F$2:$F$100,"Current project / community facility")+COUNTIFS('Activities'!$B$2:$B$100,A5,'Activities'!$F$2:$F$100,"Current trail evidence")</x:f>
        <x:v>2</x:v>
      </x:c>
      <x:c r="D5" s="30" t="n">
        <x:f>COUNTIFS('Activities'!$B$2:$B$100,A5,'Activities'!$F$2:$F$100,"Timeless / verify access")+COUNTIFS('Activities'!$B$2:$B$100,A5,'Activities'!$F$2:$F$100,"Heritage site - verify current access")+COUNTIFS('Activities'!$B$2:$B$100,A5,'Activities'!$F$2:$F$100,"Timeless / current urban feature")+COUNTIFS('Activities'!$B$2:$B$100,A5,'Activities'!$F$2:$F$100,"Recurring tradition - verify current edition")+COUNTIFS('Activities'!$B$2:$B$100,A5,'Activities'!$F$2:$F$100,"Historical / verify current operation")</x:f>
        <x:v>2</x:v>
      </x:c>
      <x:c r="E5" s="30" t="n">
        <x:f>COUNTIFS('Activities'!$B$2:$B$100,A5,'Activities'!$F$2:$F$100,"Permanently closed")+COUNTIFS('Activities'!$B$2:$B$100,A5,'Activities'!$F$2:$F$100,"Temporarily closed")+COUNTIFS('Activities'!$B$2:$B$100,A5,'Activities'!$F$2:$F$100,"Status conflict")</x:f>
        <x:v>0</x:v>
      </x:c>
      <x:c r="F5" s="30" t="n">
        <x:f>COUNTIF('Activities'!$B$2:$B$100,A5)</x:f>
        <x:v>4</x:v>
      </x:c>
      <x:c r="G5" s="30" t="str">
        <x:f>IF(F5=0,"No named public activity verified","Activities found")</x:f>
        <x:v>Activities found</x:v>
      </x:c>
      <x:c r="H5" s="30" t="str">
        <x:v>Heritage / Culture</x:v>
      </x:c>
      <x:c r="I5" s="30" t="str"/>
    </x:row>
    <x:row r="6">
      <x:c r="A6" s="30" t="str">
        <x:v>Arnoun</x:v>
      </x:c>
      <x:c r="B6" s="30" t="str">
        <x:v>Arnoun</x:v>
      </x:c>
      <x:c r="C6" s="30" t="n">
        <x:f>COUNTIFS('Activities'!$B$2:$B$100,A6,'Activities'!$F$2:$F$100,"Active - verified")+COUNTIFS('Activities'!$B$2:$B$100,A6,'Activities'!$F$2:$F$100,"Active listing")+COUNTIFS('Activities'!$B$2:$B$100,A6,'Activities'!$F$2:$F$100,"Current public garden")+COUNTIFS('Activities'!$B$2:$B$100,A6,'Activities'!$F$2:$F$100,"Current directory listing")+COUNTIFS('Activities'!$B$2:$B$100,A6,'Activities'!$F$2:$F$100,"Current project / community facility")+COUNTIFS('Activities'!$B$2:$B$100,A6,'Activities'!$F$2:$F$100,"Current trail evidence")</x:f>
        <x:v>1</x:v>
      </x:c>
      <x:c r="D6" s="30" t="n">
        <x:f>COUNTIFS('Activities'!$B$2:$B$100,A6,'Activities'!$F$2:$F$100,"Timeless / verify access")+COUNTIFS('Activities'!$B$2:$B$100,A6,'Activities'!$F$2:$F$100,"Heritage site - verify current access")+COUNTIFS('Activities'!$B$2:$B$100,A6,'Activities'!$F$2:$F$100,"Timeless / current urban feature")+COUNTIFS('Activities'!$B$2:$B$100,A6,'Activities'!$F$2:$F$100,"Recurring tradition - verify current edition")+COUNTIFS('Activities'!$B$2:$B$100,A6,'Activities'!$F$2:$F$100,"Historical / verify current operation")</x:f>
        <x:v>2</x:v>
      </x:c>
      <x:c r="E6" s="30" t="n">
        <x:f>COUNTIFS('Activities'!$B$2:$B$100,A6,'Activities'!$F$2:$F$100,"Permanently closed")+COUNTIFS('Activities'!$B$2:$B$100,A6,'Activities'!$F$2:$F$100,"Temporarily closed")+COUNTIFS('Activities'!$B$2:$B$100,A6,'Activities'!$F$2:$F$100,"Status conflict")</x:f>
        <x:v>0</x:v>
      </x:c>
      <x:c r="F6" s="30" t="n">
        <x:f>COUNTIF('Activities'!$B$2:$B$100,A6)</x:f>
        <x:v>4</x:v>
      </x:c>
      <x:c r="G6" s="30" t="str">
        <x:f>IF(F6=0,"No named public activity verified","Activities found")</x:f>
        <x:v>Activities found</x:v>
      </x:c>
      <x:c r="H6" s="30" t="str">
        <x:v>Heritage / Culture</x:v>
      </x:c>
      <x:c r="I6" s="30" t="str"/>
    </x:row>
    <x:row r="7">
      <x:c r="A7" s="30" t="str">
        <x:v>Bariqaa / Breikaa</x:v>
      </x:c>
      <x:c r="B7" s="30" t="str">
        <x:v>Braiqaa / Bariqaa</x:v>
      </x:c>
      <x:c r="C7" s="30" t="n">
        <x:f>COUNTIFS('Activities'!$B$2:$B$100,A7,'Activities'!$F$2:$F$100,"Active - verified")+COUNTIFS('Activities'!$B$2:$B$100,A7,'Activities'!$F$2:$F$100,"Active listing")+COUNTIFS('Activities'!$B$2:$B$100,A7,'Activities'!$F$2:$F$100,"Current public garden")+COUNTIFS('Activities'!$B$2:$B$100,A7,'Activities'!$F$2:$F$100,"Current directory listing")+COUNTIFS('Activities'!$B$2:$B$100,A7,'Activities'!$F$2:$F$100,"Current project / community facility")+COUNTIFS('Activities'!$B$2:$B$100,A7,'Activities'!$F$2:$F$100,"Current trail evidence")</x:f>
        <x:v>1</x:v>
      </x:c>
      <x:c r="D7" s="30" t="n">
        <x:f>COUNTIFS('Activities'!$B$2:$B$100,A7,'Activities'!$F$2:$F$100,"Timeless / verify access")+COUNTIFS('Activities'!$B$2:$B$100,A7,'Activities'!$F$2:$F$100,"Heritage site - verify current access")+COUNTIFS('Activities'!$B$2:$B$100,A7,'Activities'!$F$2:$F$100,"Timeless / current urban feature")+COUNTIFS('Activities'!$B$2:$B$100,A7,'Activities'!$F$2:$F$100,"Recurring tradition - verify current edition")+COUNTIFS('Activities'!$B$2:$B$100,A7,'Activities'!$F$2:$F$100,"Historical / verify current operation")</x:f>
        <x:v>0</x:v>
      </x:c>
      <x:c r="E7" s="30" t="n">
        <x:f>COUNTIFS('Activities'!$B$2:$B$100,A7,'Activities'!$F$2:$F$100,"Permanently closed")+COUNTIFS('Activities'!$B$2:$B$100,A7,'Activities'!$F$2:$F$100,"Temporarily closed")+COUNTIFS('Activities'!$B$2:$B$100,A7,'Activities'!$F$2:$F$100,"Status conflict")</x:f>
        <x:v>0</x:v>
      </x:c>
      <x:c r="F7" s="30" t="n">
        <x:f>COUNTIF('Activities'!$B$2:$B$100,A7)</x:f>
        <x:v>1</x:v>
      </x:c>
      <x:c r="G7" s="30" t="str">
        <x:f>IF(F7=0,"No named public activity verified","Activities found")</x:f>
        <x:v>Activities found</x:v>
      </x:c>
      <x:c r="H7" s="30" t="str">
        <x:v>Nature / Hiking</x:v>
      </x:c>
      <x:c r="I7" s="30" t="str"/>
    </x:row>
    <x:row r="8">
      <x:c r="A8" s="30" t="str">
        <x:v>Al-Sharqiya</x:v>
      </x:c>
      <x:c r="B8" s="30" t="str">
        <x:v>Charqiye / Al-Sharqiya</x:v>
      </x:c>
      <x:c r="C8" s="30" t="n">
        <x:f>COUNTIFS('Activities'!$B$2:$B$100,A8,'Activities'!$F$2:$F$100,"Active - verified")+COUNTIFS('Activities'!$B$2:$B$100,A8,'Activities'!$F$2:$F$100,"Active listing")+COUNTIFS('Activities'!$B$2:$B$100,A8,'Activities'!$F$2:$F$100,"Current public garden")+COUNTIFS('Activities'!$B$2:$B$100,A8,'Activities'!$F$2:$F$100,"Current directory listing")+COUNTIFS('Activities'!$B$2:$B$100,A8,'Activities'!$F$2:$F$100,"Current project / community facility")+COUNTIFS('Activities'!$B$2:$B$100,A8,'Activities'!$F$2:$F$100,"Current trail evidence")</x:f>
        <x:v>0</x:v>
      </x:c>
      <x:c r="D8" s="30" t="n">
        <x:f>COUNTIFS('Activities'!$B$2:$B$100,A8,'Activities'!$F$2:$F$100,"Timeless / verify access")+COUNTIFS('Activities'!$B$2:$B$100,A8,'Activities'!$F$2:$F$100,"Heritage site - verify current access")+COUNTIFS('Activities'!$B$2:$B$100,A8,'Activities'!$F$2:$F$100,"Timeless / current urban feature")+COUNTIFS('Activities'!$B$2:$B$100,A8,'Activities'!$F$2:$F$100,"Recurring tradition - verify current edition")+COUNTIFS('Activities'!$B$2:$B$100,A8,'Activities'!$F$2:$F$100,"Historical / verify current operation")</x:f>
        <x:v>0</x:v>
      </x:c>
      <x:c r="E8" s="30" t="n">
        <x:f>COUNTIFS('Activities'!$B$2:$B$100,A8,'Activities'!$F$2:$F$100,"Permanently closed")+COUNTIFS('Activities'!$B$2:$B$100,A8,'Activities'!$F$2:$F$100,"Temporarily closed")+COUNTIFS('Activities'!$B$2:$B$100,A8,'Activities'!$F$2:$F$100,"Status conflict")</x:f>
        <x:v>0</x:v>
      </x:c>
      <x:c r="F8" s="30" t="n">
        <x:f>COUNTIF('Activities'!$B$2:$B$100,A8)</x:f>
        <x:v>0</x:v>
      </x:c>
      <x:c r="G8" s="30" t="str">
        <x:f>IF(F8=0,"No named public activity verified","Activities found")</x:f>
        <x:v>No named public activity verified</x:v>
      </x:c>
      <x:c r="H8" s="30" t="str"/>
      <x:c r="I8" s="30" t="str">
        <x:v>No exact public park, attraction, sports venue or visitor activity was securely verified; nearby Nabatieh results were excluded.</x:v>
      </x:c>
    </x:row>
    <x:row r="9">
      <x:c r="A9" s="30" t="str">
        <x:v>Choukeen</x:v>
      </x:c>
      <x:c r="B9" s="30" t="str">
        <x:v>Choukine / Choukeen</x:v>
      </x:c>
      <x:c r="C9" s="30" t="n">
        <x:f>COUNTIFS('Activities'!$B$2:$B$100,A9,'Activities'!$F$2:$F$100,"Active - verified")+COUNTIFS('Activities'!$B$2:$B$100,A9,'Activities'!$F$2:$F$100,"Active listing")+COUNTIFS('Activities'!$B$2:$B$100,A9,'Activities'!$F$2:$F$100,"Current public garden")+COUNTIFS('Activities'!$B$2:$B$100,A9,'Activities'!$F$2:$F$100,"Current directory listing")+COUNTIFS('Activities'!$B$2:$B$100,A9,'Activities'!$F$2:$F$100,"Current project / community facility")+COUNTIFS('Activities'!$B$2:$B$100,A9,'Activities'!$F$2:$F$100,"Current trail evidence")</x:f>
        <x:v>0</x:v>
      </x:c>
      <x:c r="D9" s="30" t="n">
        <x:f>COUNTIFS('Activities'!$B$2:$B$100,A9,'Activities'!$F$2:$F$100,"Timeless / verify access")+COUNTIFS('Activities'!$B$2:$B$100,A9,'Activities'!$F$2:$F$100,"Heritage site - verify current access")+COUNTIFS('Activities'!$B$2:$B$100,A9,'Activities'!$F$2:$F$100,"Timeless / current urban feature")+COUNTIFS('Activities'!$B$2:$B$100,A9,'Activities'!$F$2:$F$100,"Recurring tradition - verify current edition")+COUNTIFS('Activities'!$B$2:$B$100,A9,'Activities'!$F$2:$F$100,"Historical / verify current operation")</x:f>
        <x:v>0</x:v>
      </x:c>
      <x:c r="E9" s="30" t="n">
        <x:f>COUNTIFS('Activities'!$B$2:$B$100,A9,'Activities'!$F$2:$F$100,"Permanently closed")+COUNTIFS('Activities'!$B$2:$B$100,A9,'Activities'!$F$2:$F$100,"Temporarily closed")+COUNTIFS('Activities'!$B$2:$B$100,A9,'Activities'!$F$2:$F$100,"Status conflict")</x:f>
        <x:v>0</x:v>
      </x:c>
      <x:c r="F9" s="30" t="n">
        <x:f>COUNTIF('Activities'!$B$2:$B$100,A9)</x:f>
        <x:v>0</x:v>
      </x:c>
      <x:c r="G9" s="30" t="str">
        <x:f>IF(F9=0,"No named public activity verified","Activities found")</x:f>
        <x:v>No named public activity verified</x:v>
      </x:c>
      <x:c r="H9" s="30" t="str"/>
      <x:c r="I9" s="30" t="str">
        <x:v>No exact named activity/attraction securely verified in current searches; nearby city results were excluded.</x:v>
      </x:c>
    </x:row>
    <x:row r="10">
      <x:c r="A10" s="30" t="str">
        <x:v>Deir Al-Zahrani</x:v>
      </x:c>
      <x:c r="B10" s="30" t="str">
        <x:v>Deir ez Zahrani</x:v>
      </x:c>
      <x:c r="C10" s="30" t="n">
        <x:f>COUNTIFS('Activities'!$B$2:$B$100,A10,'Activities'!$F$2:$F$100,"Active - verified")+COUNTIFS('Activities'!$B$2:$B$100,A10,'Activities'!$F$2:$F$100,"Active listing")+COUNTIFS('Activities'!$B$2:$B$100,A10,'Activities'!$F$2:$F$100,"Current public garden")+COUNTIFS('Activities'!$B$2:$B$100,A10,'Activities'!$F$2:$F$100,"Current directory listing")+COUNTIFS('Activities'!$B$2:$B$100,A10,'Activities'!$F$2:$F$100,"Current project / community facility")+COUNTIFS('Activities'!$B$2:$B$100,A10,'Activities'!$F$2:$F$100,"Current trail evidence")</x:f>
        <x:v>1</x:v>
      </x:c>
      <x:c r="D10" s="30" t="n">
        <x:f>COUNTIFS('Activities'!$B$2:$B$100,A10,'Activities'!$F$2:$F$100,"Timeless / verify access")+COUNTIFS('Activities'!$B$2:$B$100,A10,'Activities'!$F$2:$F$100,"Heritage site - verify current access")+COUNTIFS('Activities'!$B$2:$B$100,A10,'Activities'!$F$2:$F$100,"Timeless / current urban feature")+COUNTIFS('Activities'!$B$2:$B$100,A10,'Activities'!$F$2:$F$100,"Recurring tradition - verify current edition")+COUNTIFS('Activities'!$B$2:$B$100,A10,'Activities'!$F$2:$F$100,"Historical / verify current operation")</x:f>
        <x:v>4</x:v>
      </x:c>
      <x:c r="E10" s="30" t="n">
        <x:f>COUNTIFS('Activities'!$B$2:$B$100,A10,'Activities'!$F$2:$F$100,"Permanently closed")+COUNTIFS('Activities'!$B$2:$B$100,A10,'Activities'!$F$2:$F$100,"Temporarily closed")+COUNTIFS('Activities'!$B$2:$B$100,A10,'Activities'!$F$2:$F$100,"Status conflict")</x:f>
        <x:v>0</x:v>
      </x:c>
      <x:c r="F10" s="30" t="n">
        <x:f>COUNTIF('Activities'!$B$2:$B$100,A10)</x:f>
        <x:v>5</x:v>
      </x:c>
      <x:c r="G10" s="30" t="str">
        <x:f>IF(F10=0,"No named public activity verified","Activities found")</x:f>
        <x:v>Activities found</x:v>
      </x:c>
      <x:c r="H10" s="30" t="str">
        <x:v>Heritage / Culture</x:v>
      </x:c>
      <x:c r="I10" s="30" t="str"/>
    </x:row>
    <x:row r="11">
      <x:c r="A11" s="30" t="str">
        <x:v>Doueir</x:v>
      </x:c>
      <x:c r="B11" s="30" t="str">
        <x:v>Doueir El Nabatieh</x:v>
      </x:c>
      <x:c r="C11" s="30" t="n">
        <x:f>COUNTIFS('Activities'!$B$2:$B$100,A11,'Activities'!$F$2:$F$100,"Active - verified")+COUNTIFS('Activities'!$B$2:$B$100,A11,'Activities'!$F$2:$F$100,"Active listing")+COUNTIFS('Activities'!$B$2:$B$100,A11,'Activities'!$F$2:$F$100,"Current public garden")+COUNTIFS('Activities'!$B$2:$B$100,A11,'Activities'!$F$2:$F$100,"Current directory listing")+COUNTIFS('Activities'!$B$2:$B$100,A11,'Activities'!$F$2:$F$100,"Current project / community facility")+COUNTIFS('Activities'!$B$2:$B$100,A11,'Activities'!$F$2:$F$100,"Current trail evidence")</x:f>
        <x:v>3</x:v>
      </x:c>
      <x:c r="D11" s="30" t="n">
        <x:f>COUNTIFS('Activities'!$B$2:$B$100,A11,'Activities'!$F$2:$F$100,"Timeless / verify access")+COUNTIFS('Activities'!$B$2:$B$100,A11,'Activities'!$F$2:$F$100,"Heritage site - verify current access")+COUNTIFS('Activities'!$B$2:$B$100,A11,'Activities'!$F$2:$F$100,"Timeless / current urban feature")+COUNTIFS('Activities'!$B$2:$B$100,A11,'Activities'!$F$2:$F$100,"Recurring tradition - verify current edition")+COUNTIFS('Activities'!$B$2:$B$100,A11,'Activities'!$F$2:$F$100,"Historical / verify current operation")</x:f>
        <x:v>0</x:v>
      </x:c>
      <x:c r="E11" s="30" t="n">
        <x:f>COUNTIFS('Activities'!$B$2:$B$100,A11,'Activities'!$F$2:$F$100,"Permanently closed")+COUNTIFS('Activities'!$B$2:$B$100,A11,'Activities'!$F$2:$F$100,"Temporarily closed")+COUNTIFS('Activities'!$B$2:$B$100,A11,'Activities'!$F$2:$F$100,"Status conflict")</x:f>
        <x:v>0</x:v>
      </x:c>
      <x:c r="F11" s="30" t="n">
        <x:f>COUNTIF('Activities'!$B$2:$B$100,A11)</x:f>
        <x:v>3</x:v>
      </x:c>
      <x:c r="G11" s="30" t="str">
        <x:f>IF(F11=0,"No named public activity verified","Activities found")</x:f>
        <x:v>Activities found</x:v>
      </x:c>
      <x:c r="H11" s="30" t="str">
        <x:v>Sports / Fitness</x:v>
      </x:c>
      <x:c r="I11" s="30" t="str"/>
    </x:row>
    <x:row r="12">
      <x:c r="A12" s="30" t="str">
        <x:v>Aaba / Ebba</x:v>
      </x:c>
      <x:c r="B12" s="30" t="str">
        <x:v>Aabba / Aaba</x:v>
      </x:c>
      <x:c r="C12" s="30" t="n">
        <x:f>COUNTIFS('Activities'!$B$2:$B$100,A12,'Activities'!$F$2:$F$100,"Active - verified")+COUNTIFS('Activities'!$B$2:$B$100,A12,'Activities'!$F$2:$F$100,"Active listing")+COUNTIFS('Activities'!$B$2:$B$100,A12,'Activities'!$F$2:$F$100,"Current public garden")+COUNTIFS('Activities'!$B$2:$B$100,A12,'Activities'!$F$2:$F$100,"Current directory listing")+COUNTIFS('Activities'!$B$2:$B$100,A12,'Activities'!$F$2:$F$100,"Current project / community facility")+COUNTIFS('Activities'!$B$2:$B$100,A12,'Activities'!$F$2:$F$100,"Current trail evidence")</x:f>
        <x:v>0</x:v>
      </x:c>
      <x:c r="D12" s="30" t="n">
        <x:f>COUNTIFS('Activities'!$B$2:$B$100,A12,'Activities'!$F$2:$F$100,"Timeless / verify access")+COUNTIFS('Activities'!$B$2:$B$100,A12,'Activities'!$F$2:$F$100,"Heritage site - verify current access")+COUNTIFS('Activities'!$B$2:$B$100,A12,'Activities'!$F$2:$F$100,"Timeless / current urban feature")+COUNTIFS('Activities'!$B$2:$B$100,A12,'Activities'!$F$2:$F$100,"Recurring tradition - verify current edition")+COUNTIFS('Activities'!$B$2:$B$100,A12,'Activities'!$F$2:$F$100,"Historical / verify current operation")</x:f>
        <x:v>0</x:v>
      </x:c>
      <x:c r="E12" s="30" t="n">
        <x:f>COUNTIFS('Activities'!$B$2:$B$100,A12,'Activities'!$F$2:$F$100,"Permanently closed")+COUNTIFS('Activities'!$B$2:$B$100,A12,'Activities'!$F$2:$F$100,"Temporarily closed")+COUNTIFS('Activities'!$B$2:$B$100,A12,'Activities'!$F$2:$F$100,"Status conflict")</x:f>
        <x:v>0</x:v>
      </x:c>
      <x:c r="F12" s="30" t="n">
        <x:f>COUNTIF('Activities'!$B$2:$B$100,A12)</x:f>
        <x:v>0</x:v>
      </x:c>
      <x:c r="G12" s="30" t="str">
        <x:f>IF(F12=0,"No named public activity verified","Activities found")</x:f>
        <x:v>No named public activity verified</x:v>
      </x:c>
      <x:c r="H12" s="30" t="str"/>
      <x:c r="I12" s="30" t="str">
        <x:v>No exact named public activity venue securely verified in current searches.</x:v>
      </x:c>
    </x:row>
    <x:row r="13">
      <x:c r="A13" s="30" t="str">
        <x:v>Habbouch</x:v>
      </x:c>
      <x:c r="B13" s="30" t="str">
        <x:v>Habbouch</x:v>
      </x:c>
      <x:c r="C13" s="30" t="n">
        <x:f>COUNTIFS('Activities'!$B$2:$B$100,A13,'Activities'!$F$2:$F$100,"Active - verified")+COUNTIFS('Activities'!$B$2:$B$100,A13,'Activities'!$F$2:$F$100,"Active listing")+COUNTIFS('Activities'!$B$2:$B$100,A13,'Activities'!$F$2:$F$100,"Current public garden")+COUNTIFS('Activities'!$B$2:$B$100,A13,'Activities'!$F$2:$F$100,"Current directory listing")+COUNTIFS('Activities'!$B$2:$B$100,A13,'Activities'!$F$2:$F$100,"Current project / community facility")+COUNTIFS('Activities'!$B$2:$B$100,A13,'Activities'!$F$2:$F$100,"Current trail evidence")</x:f>
        <x:v>5</x:v>
      </x:c>
      <x:c r="D13" s="30" t="n">
        <x:f>COUNTIFS('Activities'!$B$2:$B$100,A13,'Activities'!$F$2:$F$100,"Timeless / verify access")+COUNTIFS('Activities'!$B$2:$B$100,A13,'Activities'!$F$2:$F$100,"Heritage site - verify current access")+COUNTIFS('Activities'!$B$2:$B$100,A13,'Activities'!$F$2:$F$100,"Timeless / current urban feature")+COUNTIFS('Activities'!$B$2:$B$100,A13,'Activities'!$F$2:$F$100,"Recurring tradition - verify current edition")+COUNTIFS('Activities'!$B$2:$B$100,A13,'Activities'!$F$2:$F$100,"Historical / verify current operation")</x:f>
        <x:v>0</x:v>
      </x:c>
      <x:c r="E13" s="30" t="n">
        <x:f>COUNTIFS('Activities'!$B$2:$B$100,A13,'Activities'!$F$2:$F$100,"Permanently closed")+COUNTIFS('Activities'!$B$2:$B$100,A13,'Activities'!$F$2:$F$100,"Temporarily closed")+COUNTIFS('Activities'!$B$2:$B$100,A13,'Activities'!$F$2:$F$100,"Status conflict")</x:f>
        <x:v>0</x:v>
      </x:c>
      <x:c r="F13" s="30" t="n">
        <x:f>COUNTIF('Activities'!$B$2:$B$100,A13)</x:f>
        <x:v>6</x:v>
      </x:c>
      <x:c r="G13" s="30" t="str">
        <x:f>IF(F13=0,"No named public activity verified","Activities found")</x:f>
        <x:v>Activities found</x:v>
      </x:c>
      <x:c r="H13" s="30" t="str">
        <x:v>Sports / Fitness</x:v>
      </x:c>
      <x:c r="I13" s="30" t="str"/>
    </x:row>
    <x:row r="14">
      <x:c r="A14" s="30" t="str">
        <x:v>Harouf</x:v>
      </x:c>
      <x:c r="B14" s="30" t="str">
        <x:v>Harouf Nabatieh</x:v>
      </x:c>
      <x:c r="C14" s="30" t="n">
        <x:f>COUNTIFS('Activities'!$B$2:$B$100,A14,'Activities'!$F$2:$F$100,"Active - verified")+COUNTIFS('Activities'!$B$2:$B$100,A14,'Activities'!$F$2:$F$100,"Active listing")+COUNTIFS('Activities'!$B$2:$B$100,A14,'Activities'!$F$2:$F$100,"Current public garden")+COUNTIFS('Activities'!$B$2:$B$100,A14,'Activities'!$F$2:$F$100,"Current directory listing")+COUNTIFS('Activities'!$B$2:$B$100,A14,'Activities'!$F$2:$F$100,"Current project / community facility")+COUNTIFS('Activities'!$B$2:$B$100,A14,'Activities'!$F$2:$F$100,"Current trail evidence")</x:f>
        <x:v>2</x:v>
      </x:c>
      <x:c r="D14" s="30" t="n">
        <x:f>COUNTIFS('Activities'!$B$2:$B$100,A14,'Activities'!$F$2:$F$100,"Timeless / verify access")+COUNTIFS('Activities'!$B$2:$B$100,A14,'Activities'!$F$2:$F$100,"Heritage site - verify current access")+COUNTIFS('Activities'!$B$2:$B$100,A14,'Activities'!$F$2:$F$100,"Timeless / current urban feature")+COUNTIFS('Activities'!$B$2:$B$100,A14,'Activities'!$F$2:$F$100,"Recurring tradition - verify current edition")+COUNTIFS('Activities'!$B$2:$B$100,A14,'Activities'!$F$2:$F$100,"Historical / verify current operation")</x:f>
        <x:v>0</x:v>
      </x:c>
      <x:c r="E14" s="30" t="n">
        <x:f>COUNTIFS('Activities'!$B$2:$B$100,A14,'Activities'!$F$2:$F$100,"Permanently closed")+COUNTIFS('Activities'!$B$2:$B$100,A14,'Activities'!$F$2:$F$100,"Temporarily closed")+COUNTIFS('Activities'!$B$2:$B$100,A14,'Activities'!$F$2:$F$100,"Status conflict")</x:f>
        <x:v>0</x:v>
      </x:c>
      <x:c r="F14" s="30" t="n">
        <x:f>COUNTIF('Activities'!$B$2:$B$100,A14)</x:f>
        <x:v>2</x:v>
      </x:c>
      <x:c r="G14" s="30" t="str">
        <x:f>IF(F14=0,"No named public activity verified","Activities found")</x:f>
        <x:v>Activities found</x:v>
      </x:c>
      <x:c r="H14" s="30" t="str">
        <x:v>Nature / Hiking + Sports / Fitness</x:v>
      </x:c>
      <x:c r="I14" s="30" t="str"/>
    </x:row>
    <x:row r="15">
      <x:c r="A15" s="30" t="str">
        <x:v>Houmine Al-Fawqa</x:v>
      </x:c>
      <x:c r="B15" s="30" t="str">
        <x:v>Houmine el Faouqa</x:v>
      </x:c>
      <x:c r="C15" s="30" t="n">
        <x:f>COUNTIFS('Activities'!$B$2:$B$100,A15,'Activities'!$F$2:$F$100,"Active - verified")+COUNTIFS('Activities'!$B$2:$B$100,A15,'Activities'!$F$2:$F$100,"Active listing")+COUNTIFS('Activities'!$B$2:$B$100,A15,'Activities'!$F$2:$F$100,"Current public garden")+COUNTIFS('Activities'!$B$2:$B$100,A15,'Activities'!$F$2:$F$100,"Current directory listing")+COUNTIFS('Activities'!$B$2:$B$100,A15,'Activities'!$F$2:$F$100,"Current project / community facility")+COUNTIFS('Activities'!$B$2:$B$100,A15,'Activities'!$F$2:$F$100,"Current trail evidence")</x:f>
        <x:v>0</x:v>
      </x:c>
      <x:c r="D15" s="30" t="n">
        <x:f>COUNTIFS('Activities'!$B$2:$B$100,A15,'Activities'!$F$2:$F$100,"Timeless / verify access")+COUNTIFS('Activities'!$B$2:$B$100,A15,'Activities'!$F$2:$F$100,"Heritage site - verify current access")+COUNTIFS('Activities'!$B$2:$B$100,A15,'Activities'!$F$2:$F$100,"Timeless / current urban feature")+COUNTIFS('Activities'!$B$2:$B$100,A15,'Activities'!$F$2:$F$100,"Recurring tradition - verify current edition")+COUNTIFS('Activities'!$B$2:$B$100,A15,'Activities'!$F$2:$F$100,"Historical / verify current operation")</x:f>
        <x:v>5</x:v>
      </x:c>
      <x:c r="E15" s="30" t="n">
        <x:f>COUNTIFS('Activities'!$B$2:$B$100,A15,'Activities'!$F$2:$F$100,"Permanently closed")+COUNTIFS('Activities'!$B$2:$B$100,A15,'Activities'!$F$2:$F$100,"Temporarily closed")+COUNTIFS('Activities'!$B$2:$B$100,A15,'Activities'!$F$2:$F$100,"Status conflict")</x:f>
        <x:v>0</x:v>
      </x:c>
      <x:c r="F15" s="30" t="n">
        <x:f>COUNTIF('Activities'!$B$2:$B$100,A15)</x:f>
        <x:v>5</x:v>
      </x:c>
      <x:c r="G15" s="30" t="str">
        <x:f>IF(F15=0,"No named public activity verified","Activities found")</x:f>
        <x:v>Activities found</x:v>
      </x:c>
      <x:c r="H15" s="30" t="str">
        <x:v>Nature / Hiking</x:v>
      </x:c>
      <x:c r="I15" s="30" t="str"/>
    </x:row>
    <x:row r="16">
      <x:c r="A16" s="30" t="str">
        <x:v>Houmine Al-Tahta</x:v>
      </x:c>
      <x:c r="B16" s="30" t="str">
        <x:v>Houmine et Tahta</x:v>
      </x:c>
      <x:c r="C16" s="30" t="n">
        <x:f>COUNTIFS('Activities'!$B$2:$B$100,A16,'Activities'!$F$2:$F$100,"Active - verified")+COUNTIFS('Activities'!$B$2:$B$100,A16,'Activities'!$F$2:$F$100,"Active listing")+COUNTIFS('Activities'!$B$2:$B$100,A16,'Activities'!$F$2:$F$100,"Current public garden")+COUNTIFS('Activities'!$B$2:$B$100,A16,'Activities'!$F$2:$F$100,"Current directory listing")+COUNTIFS('Activities'!$B$2:$B$100,A16,'Activities'!$F$2:$F$100,"Current project / community facility")+COUNTIFS('Activities'!$B$2:$B$100,A16,'Activities'!$F$2:$F$100,"Current trail evidence")</x:f>
        <x:v>0</x:v>
      </x:c>
      <x:c r="D16" s="30" t="n">
        <x:f>COUNTIFS('Activities'!$B$2:$B$100,A16,'Activities'!$F$2:$F$100,"Timeless / verify access")+COUNTIFS('Activities'!$B$2:$B$100,A16,'Activities'!$F$2:$F$100,"Heritage site - verify current access")+COUNTIFS('Activities'!$B$2:$B$100,A16,'Activities'!$F$2:$F$100,"Timeless / current urban feature")+COUNTIFS('Activities'!$B$2:$B$100,A16,'Activities'!$F$2:$F$100,"Recurring tradition - verify current edition")+COUNTIFS('Activities'!$B$2:$B$100,A16,'Activities'!$F$2:$F$100,"Historical / verify current operation")</x:f>
        <x:v>0</x:v>
      </x:c>
      <x:c r="E16" s="30" t="n">
        <x:f>COUNTIFS('Activities'!$B$2:$B$100,A16,'Activities'!$F$2:$F$100,"Permanently closed")+COUNTIFS('Activities'!$B$2:$B$100,A16,'Activities'!$F$2:$F$100,"Temporarily closed")+COUNTIFS('Activities'!$B$2:$B$100,A16,'Activities'!$F$2:$F$100,"Status conflict")</x:f>
        <x:v>0</x:v>
      </x:c>
      <x:c r="F16" s="30" t="n">
        <x:f>COUNTIF('Activities'!$B$2:$B$100,A16)</x:f>
        <x:v>0</x:v>
      </x:c>
      <x:c r="G16" s="30" t="str">
        <x:f>IF(F16=0,"No named public activity verified","Activities found")</x:f>
        <x:v>No named public activity verified</x:v>
      </x:c>
      <x:c r="H16" s="30" t="str"/>
      <x:c r="I16" s="30" t="str">
        <x:v>No exact named public activity/attraction securely verified in current searches.</x:v>
      </x:c>
    </x:row>
    <x:row r="17">
      <x:c r="A17" s="30" t="str">
        <x:v>Jarjouh / Jargea</x:v>
      </x:c>
      <x:c r="B17" s="30" t="str">
        <x:v>Jarjouaa / Jarjouh</x:v>
      </x:c>
      <x:c r="C17" s="30" t="n">
        <x:f>COUNTIFS('Activities'!$B$2:$B$100,A17,'Activities'!$F$2:$F$100,"Active - verified")+COUNTIFS('Activities'!$B$2:$B$100,A17,'Activities'!$F$2:$F$100,"Active listing")+COUNTIFS('Activities'!$B$2:$B$100,A17,'Activities'!$F$2:$F$100,"Current public garden")+COUNTIFS('Activities'!$B$2:$B$100,A17,'Activities'!$F$2:$F$100,"Current directory listing")+COUNTIFS('Activities'!$B$2:$B$100,A17,'Activities'!$F$2:$F$100,"Current project / community facility")+COUNTIFS('Activities'!$B$2:$B$100,A17,'Activities'!$F$2:$F$100,"Current trail evidence")</x:f>
        <x:v>2</x:v>
      </x:c>
      <x:c r="D17" s="30" t="n">
        <x:f>COUNTIFS('Activities'!$B$2:$B$100,A17,'Activities'!$F$2:$F$100,"Timeless / verify access")+COUNTIFS('Activities'!$B$2:$B$100,A17,'Activities'!$F$2:$F$100,"Heritage site - verify current access")+COUNTIFS('Activities'!$B$2:$B$100,A17,'Activities'!$F$2:$F$100,"Timeless / current urban feature")+COUNTIFS('Activities'!$B$2:$B$100,A17,'Activities'!$F$2:$F$100,"Recurring tradition - verify current edition")+COUNTIFS('Activities'!$B$2:$B$100,A17,'Activities'!$F$2:$F$100,"Historical / verify current operation")</x:f>
        <x:v>2</x:v>
      </x:c>
      <x:c r="E17" s="30" t="n">
        <x:f>COUNTIFS('Activities'!$B$2:$B$100,A17,'Activities'!$F$2:$F$100,"Permanently closed")+COUNTIFS('Activities'!$B$2:$B$100,A17,'Activities'!$F$2:$F$100,"Temporarily closed")+COUNTIFS('Activities'!$B$2:$B$100,A17,'Activities'!$F$2:$F$100,"Status conflict")</x:f>
        <x:v>0</x:v>
      </x:c>
      <x:c r="F17" s="30" t="n">
        <x:f>COUNTIF('Activities'!$B$2:$B$100,A17)</x:f>
        <x:v>4</x:v>
      </x:c>
      <x:c r="G17" s="30" t="str">
        <x:f>IF(F17=0,"No named public activity verified","Activities found")</x:f>
        <x:v>Activities found</x:v>
      </x:c>
      <x:c r="H17" s="30" t="str">
        <x:v>Nature / Hiking</x:v>
      </x:c>
      <x:c r="I17" s="30" t="str"/>
    </x:row>
    <x:row r="18">
      <x:c r="A18" s="30" t="str">
        <x:v>Jbaa–Ain Bouswar</x:v>
      </x:c>
      <x:c r="B18" s="30" t="str">
        <x:v>Jbaa El Nabatieh / Ain Bou Souar</x:v>
      </x:c>
      <x:c r="C18" s="30" t="n">
        <x:f>COUNTIFS('Activities'!$B$2:$B$100,A18,'Activities'!$F$2:$F$100,"Active - verified")+COUNTIFS('Activities'!$B$2:$B$100,A18,'Activities'!$F$2:$F$100,"Active listing")+COUNTIFS('Activities'!$B$2:$B$100,A18,'Activities'!$F$2:$F$100,"Current public garden")+COUNTIFS('Activities'!$B$2:$B$100,A18,'Activities'!$F$2:$F$100,"Current directory listing")+COUNTIFS('Activities'!$B$2:$B$100,A18,'Activities'!$F$2:$F$100,"Current project / community facility")+COUNTIFS('Activities'!$B$2:$B$100,A18,'Activities'!$F$2:$F$100,"Current trail evidence")</x:f>
        <x:v>1</x:v>
      </x:c>
      <x:c r="D18" s="30" t="n">
        <x:f>COUNTIFS('Activities'!$B$2:$B$100,A18,'Activities'!$F$2:$F$100,"Timeless / verify access")+COUNTIFS('Activities'!$B$2:$B$100,A18,'Activities'!$F$2:$F$100,"Heritage site - verify current access")+COUNTIFS('Activities'!$B$2:$B$100,A18,'Activities'!$F$2:$F$100,"Timeless / current urban feature")+COUNTIFS('Activities'!$B$2:$B$100,A18,'Activities'!$F$2:$F$100,"Recurring tradition - verify current edition")+COUNTIFS('Activities'!$B$2:$B$100,A18,'Activities'!$F$2:$F$100,"Historical / verify current operation")</x:f>
        <x:v>4</x:v>
      </x:c>
      <x:c r="E18" s="30" t="n">
        <x:f>COUNTIFS('Activities'!$B$2:$B$100,A18,'Activities'!$F$2:$F$100,"Permanently closed")+COUNTIFS('Activities'!$B$2:$B$100,A18,'Activities'!$F$2:$F$100,"Temporarily closed")+COUNTIFS('Activities'!$B$2:$B$100,A18,'Activities'!$F$2:$F$100,"Status conflict")</x:f>
        <x:v>0</x:v>
      </x:c>
      <x:c r="F18" s="30" t="n">
        <x:f>COUNTIF('Activities'!$B$2:$B$100,A18)</x:f>
        <x:v>5</x:v>
      </x:c>
      <x:c r="G18" s="30" t="str">
        <x:f>IF(F18=0,"No named public activity verified","Activities found")</x:f>
        <x:v>Activities found</x:v>
      </x:c>
      <x:c r="H18" s="30" t="str">
        <x:v>Nature / Hiking</x:v>
      </x:c>
      <x:c r="I18" s="30" t="str"/>
    </x:row>
    <x:row r="19">
      <x:c r="A19" s="30" t="str">
        <x:v>Jibchit</x:v>
      </x:c>
      <x:c r="B19" s="30" t="str">
        <x:v>Jibchit</x:v>
      </x:c>
      <x:c r="C19" s="30" t="n">
        <x:f>COUNTIFS('Activities'!$B$2:$B$100,A19,'Activities'!$F$2:$F$100,"Active - verified")+COUNTIFS('Activities'!$B$2:$B$100,A19,'Activities'!$F$2:$F$100,"Active listing")+COUNTIFS('Activities'!$B$2:$B$100,A19,'Activities'!$F$2:$F$100,"Current public garden")+COUNTIFS('Activities'!$B$2:$B$100,A19,'Activities'!$F$2:$F$100,"Current directory listing")+COUNTIFS('Activities'!$B$2:$B$100,A19,'Activities'!$F$2:$F$100,"Current project / community facility")+COUNTIFS('Activities'!$B$2:$B$100,A19,'Activities'!$F$2:$F$100,"Current trail evidence")</x:f>
        <x:v>0</x:v>
      </x:c>
      <x:c r="D19" s="30" t="n">
        <x:f>COUNTIFS('Activities'!$B$2:$B$100,A19,'Activities'!$F$2:$F$100,"Timeless / verify access")+COUNTIFS('Activities'!$B$2:$B$100,A19,'Activities'!$F$2:$F$100,"Heritage site - verify current access")+COUNTIFS('Activities'!$B$2:$B$100,A19,'Activities'!$F$2:$F$100,"Timeless / current urban feature")+COUNTIFS('Activities'!$B$2:$B$100,A19,'Activities'!$F$2:$F$100,"Recurring tradition - verify current edition")+COUNTIFS('Activities'!$B$2:$B$100,A19,'Activities'!$F$2:$F$100,"Historical / verify current operation")</x:f>
        <x:v>0</x:v>
      </x:c>
      <x:c r="E19" s="30" t="n">
        <x:f>COUNTIFS('Activities'!$B$2:$B$100,A19,'Activities'!$F$2:$F$100,"Permanently closed")+COUNTIFS('Activities'!$B$2:$B$100,A19,'Activities'!$F$2:$F$100,"Temporarily closed")+COUNTIFS('Activities'!$B$2:$B$100,A19,'Activities'!$F$2:$F$100,"Status conflict")</x:f>
        <x:v>0</x:v>
      </x:c>
      <x:c r="F19" s="30" t="n">
        <x:f>COUNTIF('Activities'!$B$2:$B$100,A19)</x:f>
        <x:v>1</x:v>
      </x:c>
      <x:c r="G19" s="30" t="str">
        <x:f>IF(F19=0,"No named public activity verified","Activities found")</x:f>
        <x:v>Activities found</x:v>
      </x:c>
      <x:c r="H19" s="30" t="str">
        <x:v>Parks / Family</x:v>
      </x:c>
      <x:c r="I19" s="30" t="str"/>
    </x:row>
    <x:row r="20">
      <x:c r="A20" s="30" t="str">
        <x:v>Kaakaiyet Al-Jisr</x:v>
      </x:c>
      <x:c r="B20" s="30" t="str">
        <x:v>Qaaqaaiyet ej Jisr</x:v>
      </x:c>
      <x:c r="C20" s="30" t="n">
        <x:f>COUNTIFS('Activities'!$B$2:$B$100,A20,'Activities'!$F$2:$F$100,"Active - verified")+COUNTIFS('Activities'!$B$2:$B$100,A20,'Activities'!$F$2:$F$100,"Active listing")+COUNTIFS('Activities'!$B$2:$B$100,A20,'Activities'!$F$2:$F$100,"Current public garden")+COUNTIFS('Activities'!$B$2:$B$100,A20,'Activities'!$F$2:$F$100,"Current directory listing")+COUNTIFS('Activities'!$B$2:$B$100,A20,'Activities'!$F$2:$F$100,"Current project / community facility")+COUNTIFS('Activities'!$B$2:$B$100,A20,'Activities'!$F$2:$F$100,"Current trail evidence")</x:f>
        <x:v>1</x:v>
      </x:c>
      <x:c r="D20" s="30" t="n">
        <x:f>COUNTIFS('Activities'!$B$2:$B$100,A20,'Activities'!$F$2:$F$100,"Timeless / verify access")+COUNTIFS('Activities'!$B$2:$B$100,A20,'Activities'!$F$2:$F$100,"Heritage site - verify current access")+COUNTIFS('Activities'!$B$2:$B$100,A20,'Activities'!$F$2:$F$100,"Timeless / current urban feature")+COUNTIFS('Activities'!$B$2:$B$100,A20,'Activities'!$F$2:$F$100,"Recurring tradition - verify current edition")+COUNTIFS('Activities'!$B$2:$B$100,A20,'Activities'!$F$2:$F$100,"Historical / verify current operation")</x:f>
        <x:v>0</x:v>
      </x:c>
      <x:c r="E20" s="30" t="n">
        <x:f>COUNTIFS('Activities'!$B$2:$B$100,A20,'Activities'!$F$2:$F$100,"Permanently closed")+COUNTIFS('Activities'!$B$2:$B$100,A20,'Activities'!$F$2:$F$100,"Temporarily closed")+COUNTIFS('Activities'!$B$2:$B$100,A20,'Activities'!$F$2:$F$100,"Status conflict")</x:f>
        <x:v>1</x:v>
      </x:c>
      <x:c r="F20" s="30" t="n">
        <x:f>COUNTIF('Activities'!$B$2:$B$100,A20)</x:f>
        <x:v>2</x:v>
      </x:c>
      <x:c r="G20" s="30" t="str">
        <x:f>IF(F20=0,"No named public activity verified","Activities found")</x:f>
        <x:v>Activities found</x:v>
      </x:c>
      <x:c r="H20" s="30" t="str">
        <x:v>Resorts / Pools + Parks / Family</x:v>
      </x:c>
      <x:c r="I20" s="30" t="str"/>
    </x:row>
    <x:row r="21">
      <x:c r="A21" s="30" t="str">
        <x:v>Kafr Fila</x:v>
      </x:c>
      <x:c r="B21" s="30" t="str">
        <x:v>Kfar Fila</x:v>
      </x:c>
      <x:c r="C21" s="30" t="n">
        <x:f>COUNTIFS('Activities'!$B$2:$B$100,A21,'Activities'!$F$2:$F$100,"Active - verified")+COUNTIFS('Activities'!$B$2:$B$100,A21,'Activities'!$F$2:$F$100,"Active listing")+COUNTIFS('Activities'!$B$2:$B$100,A21,'Activities'!$F$2:$F$100,"Current public garden")+COUNTIFS('Activities'!$B$2:$B$100,A21,'Activities'!$F$2:$F$100,"Current directory listing")+COUNTIFS('Activities'!$B$2:$B$100,A21,'Activities'!$F$2:$F$100,"Current project / community facility")+COUNTIFS('Activities'!$B$2:$B$100,A21,'Activities'!$F$2:$F$100,"Current trail evidence")</x:f>
        <x:v>0</x:v>
      </x:c>
      <x:c r="D21" s="30" t="n">
        <x:f>COUNTIFS('Activities'!$B$2:$B$100,A21,'Activities'!$F$2:$F$100,"Timeless / verify access")+COUNTIFS('Activities'!$B$2:$B$100,A21,'Activities'!$F$2:$F$100,"Heritage site - verify current access")+COUNTIFS('Activities'!$B$2:$B$100,A21,'Activities'!$F$2:$F$100,"Timeless / current urban feature")+COUNTIFS('Activities'!$B$2:$B$100,A21,'Activities'!$F$2:$F$100,"Recurring tradition - verify current edition")+COUNTIFS('Activities'!$B$2:$B$100,A21,'Activities'!$F$2:$F$100,"Historical / verify current operation")</x:f>
        <x:v>2</x:v>
      </x:c>
      <x:c r="E21" s="30" t="n">
        <x:f>COUNTIFS('Activities'!$B$2:$B$100,A21,'Activities'!$F$2:$F$100,"Permanently closed")+COUNTIFS('Activities'!$B$2:$B$100,A21,'Activities'!$F$2:$F$100,"Temporarily closed")+COUNTIFS('Activities'!$B$2:$B$100,A21,'Activities'!$F$2:$F$100,"Status conflict")</x:f>
        <x:v>0</x:v>
      </x:c>
      <x:c r="F21" s="30" t="n">
        <x:f>COUNTIF('Activities'!$B$2:$B$100,A21)</x:f>
        <x:v>2</x:v>
      </x:c>
      <x:c r="G21" s="30" t="str">
        <x:f>IF(F21=0,"No named public activity verified","Activities found")</x:f>
        <x:v>Activities found</x:v>
      </x:c>
      <x:c r="H21" s="30" t="str">
        <x:v>Heritage / Culture + Nature / Hiking</x:v>
      </x:c>
      <x:c r="I21" s="30" t="str"/>
    </x:row>
    <x:row r="22">
      <x:c r="A22" s="30" t="str">
        <x:v>Kafr Roummane</x:v>
      </x:c>
      <x:c r="B22" s="30" t="str">
        <x:v>Kfar Roummane</x:v>
      </x:c>
      <x:c r="C22" s="30" t="n">
        <x:f>COUNTIFS('Activities'!$B$2:$B$100,A22,'Activities'!$F$2:$F$100,"Active - verified")+COUNTIFS('Activities'!$B$2:$B$100,A22,'Activities'!$F$2:$F$100,"Active listing")+COUNTIFS('Activities'!$B$2:$B$100,A22,'Activities'!$F$2:$F$100,"Current public garden")+COUNTIFS('Activities'!$B$2:$B$100,A22,'Activities'!$F$2:$F$100,"Current directory listing")+COUNTIFS('Activities'!$B$2:$B$100,A22,'Activities'!$F$2:$F$100,"Current project / community facility")+COUNTIFS('Activities'!$B$2:$B$100,A22,'Activities'!$F$2:$F$100,"Current trail evidence")</x:f>
        <x:v>1</x:v>
      </x:c>
      <x:c r="D22" s="30" t="n">
        <x:f>COUNTIFS('Activities'!$B$2:$B$100,A22,'Activities'!$F$2:$F$100,"Timeless / verify access")+COUNTIFS('Activities'!$B$2:$B$100,A22,'Activities'!$F$2:$F$100,"Heritage site - verify current access")+COUNTIFS('Activities'!$B$2:$B$100,A22,'Activities'!$F$2:$F$100,"Timeless / current urban feature")+COUNTIFS('Activities'!$B$2:$B$100,A22,'Activities'!$F$2:$F$100,"Recurring tradition - verify current edition")+COUNTIFS('Activities'!$B$2:$B$100,A22,'Activities'!$F$2:$F$100,"Historical / verify current operation")</x:f>
        <x:v>0</x:v>
      </x:c>
      <x:c r="E22" s="30" t="n">
        <x:f>COUNTIFS('Activities'!$B$2:$B$100,A22,'Activities'!$F$2:$F$100,"Permanently closed")+COUNTIFS('Activities'!$B$2:$B$100,A22,'Activities'!$F$2:$F$100,"Temporarily closed")+COUNTIFS('Activities'!$B$2:$B$100,A22,'Activities'!$F$2:$F$100,"Status conflict")</x:f>
        <x:v>0</x:v>
      </x:c>
      <x:c r="F22" s="30" t="n">
        <x:f>COUNTIF('Activities'!$B$2:$B$100,A22)</x:f>
        <x:v>1</x:v>
      </x:c>
      <x:c r="G22" s="30" t="str">
        <x:f>IF(F22=0,"No named public activity verified","Activities found")</x:f>
        <x:v>Activities found</x:v>
      </x:c>
      <x:c r="H22" s="30" t="str">
        <x:v>Sports / Fitness</x:v>
      </x:c>
      <x:c r="I22" s="30" t="str"/>
    </x:row>
    <x:row r="23">
      <x:c r="A23" s="30" t="str">
        <x:v>Kafr Sir</x:v>
      </x:c>
      <x:c r="B23" s="30" t="str">
        <x:v>Kfar Sir</x:v>
      </x:c>
      <x:c r="C23" s="30" t="n">
        <x:f>COUNTIFS('Activities'!$B$2:$B$100,A23,'Activities'!$F$2:$F$100,"Active - verified")+COUNTIFS('Activities'!$B$2:$B$100,A23,'Activities'!$F$2:$F$100,"Active listing")+COUNTIFS('Activities'!$B$2:$B$100,A23,'Activities'!$F$2:$F$100,"Current public garden")+COUNTIFS('Activities'!$B$2:$B$100,A23,'Activities'!$F$2:$F$100,"Current directory listing")+COUNTIFS('Activities'!$B$2:$B$100,A23,'Activities'!$F$2:$F$100,"Current project / community facility")+COUNTIFS('Activities'!$B$2:$B$100,A23,'Activities'!$F$2:$F$100,"Current trail evidence")</x:f>
        <x:v>2</x:v>
      </x:c>
      <x:c r="D23" s="30" t="n">
        <x:f>COUNTIFS('Activities'!$B$2:$B$100,A23,'Activities'!$F$2:$F$100,"Timeless / verify access")+COUNTIFS('Activities'!$B$2:$B$100,A23,'Activities'!$F$2:$F$100,"Heritage site - verify current access")+COUNTIFS('Activities'!$B$2:$B$100,A23,'Activities'!$F$2:$F$100,"Timeless / current urban feature")+COUNTIFS('Activities'!$B$2:$B$100,A23,'Activities'!$F$2:$F$100,"Recurring tradition - verify current edition")+COUNTIFS('Activities'!$B$2:$B$100,A23,'Activities'!$F$2:$F$100,"Historical / verify current operation")</x:f>
        <x:v>0</x:v>
      </x:c>
      <x:c r="E23" s="30" t="n">
        <x:f>COUNTIFS('Activities'!$B$2:$B$100,A23,'Activities'!$F$2:$F$100,"Permanently closed")+COUNTIFS('Activities'!$B$2:$B$100,A23,'Activities'!$F$2:$F$100,"Temporarily closed")+COUNTIFS('Activities'!$B$2:$B$100,A23,'Activities'!$F$2:$F$100,"Status conflict")</x:f>
        <x:v>0</x:v>
      </x:c>
      <x:c r="F23" s="30" t="n">
        <x:f>COUNTIF('Activities'!$B$2:$B$100,A23)</x:f>
        <x:v>2</x:v>
      </x:c>
      <x:c r="G23" s="30" t="str">
        <x:f>IF(F23=0,"No named public activity verified","Activities found")</x:f>
        <x:v>Activities found</x:v>
      </x:c>
      <x:c r="H23" s="30" t="str">
        <x:v>Resorts / Pools</x:v>
      </x:c>
      <x:c r="I23" s="30" t="str"/>
    </x:row>
    <x:row r="24">
      <x:c r="A24" s="30" t="str">
        <x:v>Kafr Tibnit</x:v>
      </x:c>
      <x:c r="B24" s="30" t="str">
        <x:v>Kfar Tebnit</x:v>
      </x:c>
      <x:c r="C24" s="30" t="n">
        <x:f>COUNTIFS('Activities'!$B$2:$B$100,A24,'Activities'!$F$2:$F$100,"Active - verified")+COUNTIFS('Activities'!$B$2:$B$100,A24,'Activities'!$F$2:$F$100,"Active listing")+COUNTIFS('Activities'!$B$2:$B$100,A24,'Activities'!$F$2:$F$100,"Current public garden")+COUNTIFS('Activities'!$B$2:$B$100,A24,'Activities'!$F$2:$F$100,"Current directory listing")+COUNTIFS('Activities'!$B$2:$B$100,A24,'Activities'!$F$2:$F$100,"Current project / community facility")+COUNTIFS('Activities'!$B$2:$B$100,A24,'Activities'!$F$2:$F$100,"Current trail evidence")</x:f>
        <x:v>1</x:v>
      </x:c>
      <x:c r="D24" s="30" t="n">
        <x:f>COUNTIFS('Activities'!$B$2:$B$100,A24,'Activities'!$F$2:$F$100,"Timeless / verify access")+COUNTIFS('Activities'!$B$2:$B$100,A24,'Activities'!$F$2:$F$100,"Heritage site - verify current access")+COUNTIFS('Activities'!$B$2:$B$100,A24,'Activities'!$F$2:$F$100,"Timeless / current urban feature")+COUNTIFS('Activities'!$B$2:$B$100,A24,'Activities'!$F$2:$F$100,"Recurring tradition - verify current edition")+COUNTIFS('Activities'!$B$2:$B$100,A24,'Activities'!$F$2:$F$100,"Historical / verify current operation")</x:f>
        <x:v>0</x:v>
      </x:c>
      <x:c r="E24" s="30" t="n">
        <x:f>COUNTIFS('Activities'!$B$2:$B$100,A24,'Activities'!$F$2:$F$100,"Permanently closed")+COUNTIFS('Activities'!$B$2:$B$100,A24,'Activities'!$F$2:$F$100,"Temporarily closed")+COUNTIFS('Activities'!$B$2:$B$100,A24,'Activities'!$F$2:$F$100,"Status conflict")</x:f>
        <x:v>0</x:v>
      </x:c>
      <x:c r="F24" s="30" t="n">
        <x:f>COUNTIF('Activities'!$B$2:$B$100,A24)</x:f>
        <x:v>1</x:v>
      </x:c>
      <x:c r="G24" s="30" t="str">
        <x:f>IF(F24=0,"No named public activity verified","Activities found")</x:f>
        <x:v>Activities found</x:v>
      </x:c>
      <x:c r="H24" s="30" t="str">
        <x:v>Nature / Hiking</x:v>
      </x:c>
      <x:c r="I24" s="30" t="str"/>
    </x:row>
    <x:row r="25">
      <x:c r="A25" s="30" t="str">
        <x:v>Al-Kfour</x:v>
      </x:c>
      <x:c r="B25" s="30" t="str">
        <x:v>Kfour El Nabatieh</x:v>
      </x:c>
      <x:c r="C25" s="30" t="n">
        <x:f>COUNTIFS('Activities'!$B$2:$B$100,A25,'Activities'!$F$2:$F$100,"Active - verified")+COUNTIFS('Activities'!$B$2:$B$100,A25,'Activities'!$F$2:$F$100,"Active listing")+COUNTIFS('Activities'!$B$2:$B$100,A25,'Activities'!$F$2:$F$100,"Current public garden")+COUNTIFS('Activities'!$B$2:$B$100,A25,'Activities'!$F$2:$F$100,"Current directory listing")+COUNTIFS('Activities'!$B$2:$B$100,A25,'Activities'!$F$2:$F$100,"Current project / community facility")+COUNTIFS('Activities'!$B$2:$B$100,A25,'Activities'!$F$2:$F$100,"Current trail evidence")</x:f>
        <x:v>2</x:v>
      </x:c>
      <x:c r="D25" s="30" t="n">
        <x:f>COUNTIFS('Activities'!$B$2:$B$100,A25,'Activities'!$F$2:$F$100,"Timeless / verify access")+COUNTIFS('Activities'!$B$2:$B$100,A25,'Activities'!$F$2:$F$100,"Heritage site - verify current access")+COUNTIFS('Activities'!$B$2:$B$100,A25,'Activities'!$F$2:$F$100,"Timeless / current urban feature")+COUNTIFS('Activities'!$B$2:$B$100,A25,'Activities'!$F$2:$F$100,"Recurring tradition - verify current edition")+COUNTIFS('Activities'!$B$2:$B$100,A25,'Activities'!$F$2:$F$100,"Historical / verify current operation")</x:f>
        <x:v>0</x:v>
      </x:c>
      <x:c r="E25" s="30" t="n">
        <x:f>COUNTIFS('Activities'!$B$2:$B$100,A25,'Activities'!$F$2:$F$100,"Permanently closed")+COUNTIFS('Activities'!$B$2:$B$100,A25,'Activities'!$F$2:$F$100,"Temporarily closed")+COUNTIFS('Activities'!$B$2:$B$100,A25,'Activities'!$F$2:$F$100,"Status conflict")</x:f>
        <x:v>0</x:v>
      </x:c>
      <x:c r="F25" s="30" t="n">
        <x:f>COUNTIF('Activities'!$B$2:$B$100,A25)</x:f>
        <x:v>2</x:v>
      </x:c>
      <x:c r="G25" s="30" t="str">
        <x:f>IF(F25=0,"No named public activity verified","Activities found")</x:f>
        <x:v>Activities found</x:v>
      </x:c>
      <x:c r="H25" s="30" t="str">
        <x:v>Resorts / Pools + Heritage / Culture</x:v>
      </x:c>
      <x:c r="I25" s="30" t="str"/>
    </x:row>
    <x:row r="26">
      <x:c r="A26" s="30" t="str">
        <x:v>Al-Qsaybeh</x:v>
      </x:c>
      <x:c r="B26" s="30" t="str">
        <x:v>Qsaibe El Nabatieh</x:v>
      </x:c>
      <x:c r="C26" s="30" t="n">
        <x:f>COUNTIFS('Activities'!$B$2:$B$100,A26,'Activities'!$F$2:$F$100,"Active - verified")+COUNTIFS('Activities'!$B$2:$B$100,A26,'Activities'!$F$2:$F$100,"Active listing")+COUNTIFS('Activities'!$B$2:$B$100,A26,'Activities'!$F$2:$F$100,"Current public garden")+COUNTIFS('Activities'!$B$2:$B$100,A26,'Activities'!$F$2:$F$100,"Current directory listing")+COUNTIFS('Activities'!$B$2:$B$100,A26,'Activities'!$F$2:$F$100,"Current project / community facility")+COUNTIFS('Activities'!$B$2:$B$100,A26,'Activities'!$F$2:$F$100,"Current trail evidence")</x:f>
        <x:v>0</x:v>
      </x:c>
      <x:c r="D26" s="30" t="n">
        <x:f>COUNTIFS('Activities'!$B$2:$B$100,A26,'Activities'!$F$2:$F$100,"Timeless / verify access")+COUNTIFS('Activities'!$B$2:$B$100,A26,'Activities'!$F$2:$F$100,"Heritage site - verify current access")+COUNTIFS('Activities'!$B$2:$B$100,A26,'Activities'!$F$2:$F$100,"Timeless / current urban feature")+COUNTIFS('Activities'!$B$2:$B$100,A26,'Activities'!$F$2:$F$100,"Recurring tradition - verify current edition")+COUNTIFS('Activities'!$B$2:$B$100,A26,'Activities'!$F$2:$F$100,"Historical / verify current operation")</x:f>
        <x:v>0</x:v>
      </x:c>
      <x:c r="E26" s="30" t="n">
        <x:f>COUNTIFS('Activities'!$B$2:$B$100,A26,'Activities'!$F$2:$F$100,"Permanently closed")+COUNTIFS('Activities'!$B$2:$B$100,A26,'Activities'!$F$2:$F$100,"Temporarily closed")+COUNTIFS('Activities'!$B$2:$B$100,A26,'Activities'!$F$2:$F$100,"Status conflict")</x:f>
        <x:v>0</x:v>
      </x:c>
      <x:c r="F26" s="30" t="n">
        <x:f>COUNTIF('Activities'!$B$2:$B$100,A26)</x:f>
        <x:v>0</x:v>
      </x:c>
      <x:c r="G26" s="30" t="str">
        <x:f>IF(F26=0,"No named public activity verified","Activities found")</x:f>
        <x:v>No named public activity verified</x:v>
      </x:c>
      <x:c r="H26" s="30" t="str"/>
      <x:c r="I26" s="30" t="str">
        <x:v>No exact named public attraction or sports/family venue securely verified; nearby Qsaybeh restaurant results were not counted as activities.</x:v>
      </x:c>
    </x:row>
    <x:row r="27">
      <x:c r="A27" s="30" t="str">
        <x:v>Mayfadoun</x:v>
      </x:c>
      <x:c r="B27" s="30" t="str">
        <x:v>Maifadoun / Mayfadoun</x:v>
      </x:c>
      <x:c r="C27" s="30" t="n">
        <x:f>COUNTIFS('Activities'!$B$2:$B$100,A27,'Activities'!$F$2:$F$100,"Active - verified")+COUNTIFS('Activities'!$B$2:$B$100,A27,'Activities'!$F$2:$F$100,"Active listing")+COUNTIFS('Activities'!$B$2:$B$100,A27,'Activities'!$F$2:$F$100,"Current public garden")+COUNTIFS('Activities'!$B$2:$B$100,A27,'Activities'!$F$2:$F$100,"Current directory listing")+COUNTIFS('Activities'!$B$2:$B$100,A27,'Activities'!$F$2:$F$100,"Current project / community facility")+COUNTIFS('Activities'!$B$2:$B$100,A27,'Activities'!$F$2:$F$100,"Current trail evidence")</x:f>
        <x:v>0</x:v>
      </x:c>
      <x:c r="D27" s="30" t="n">
        <x:f>COUNTIFS('Activities'!$B$2:$B$100,A27,'Activities'!$F$2:$F$100,"Timeless / verify access")+COUNTIFS('Activities'!$B$2:$B$100,A27,'Activities'!$F$2:$F$100,"Heritage site - verify current access")+COUNTIFS('Activities'!$B$2:$B$100,A27,'Activities'!$F$2:$F$100,"Timeless / current urban feature")+COUNTIFS('Activities'!$B$2:$B$100,A27,'Activities'!$F$2:$F$100,"Recurring tradition - verify current edition")+COUNTIFS('Activities'!$B$2:$B$100,A27,'Activities'!$F$2:$F$100,"Historical / verify current operation")</x:f>
        <x:v>0</x:v>
      </x:c>
      <x:c r="E27" s="30" t="n">
        <x:f>COUNTIFS('Activities'!$B$2:$B$100,A27,'Activities'!$F$2:$F$100,"Permanently closed")+COUNTIFS('Activities'!$B$2:$B$100,A27,'Activities'!$F$2:$F$100,"Temporarily closed")+COUNTIFS('Activities'!$B$2:$B$100,A27,'Activities'!$F$2:$F$100,"Status conflict")</x:f>
        <x:v>0</x:v>
      </x:c>
      <x:c r="F27" s="30" t="n">
        <x:f>COUNTIF('Activities'!$B$2:$B$100,A27)</x:f>
        <x:v>0</x:v>
      </x:c>
      <x:c r="G27" s="30" t="str">
        <x:f>IF(F27=0,"No named public activity verified","Activities found")</x:f>
        <x:v>No named public activity verified</x:v>
      </x:c>
      <x:c r="H27" s="30" t="str"/>
      <x:c r="I27" s="30" t="str">
        <x:v>No exact named public activity/attraction securely verified; radius-based nearby results were excluded.</x:v>
      </x:c>
    </x:row>
    <x:row r="28">
      <x:c r="A28" s="30" t="str">
        <x:v>Nabatieh</x:v>
      </x:c>
      <x:c r="B28" s="30" t="str">
        <x:v>Nabatieh</x:v>
      </x:c>
      <x:c r="C28" s="30" t="n">
        <x:f>COUNTIFS('Activities'!$B$2:$B$100,A28,'Activities'!$F$2:$F$100,"Active - verified")+COUNTIFS('Activities'!$B$2:$B$100,A28,'Activities'!$F$2:$F$100,"Active listing")+COUNTIFS('Activities'!$B$2:$B$100,A28,'Activities'!$F$2:$F$100,"Current public garden")+COUNTIFS('Activities'!$B$2:$B$100,A28,'Activities'!$F$2:$F$100,"Current directory listing")+COUNTIFS('Activities'!$B$2:$B$100,A28,'Activities'!$F$2:$F$100,"Current project / community facility")+COUNTIFS('Activities'!$B$2:$B$100,A28,'Activities'!$F$2:$F$100,"Current trail evidence")</x:f>
        <x:v>19</x:v>
      </x:c>
      <x:c r="D28" s="30" t="n">
        <x:f>COUNTIFS('Activities'!$B$2:$B$100,A28,'Activities'!$F$2:$F$100,"Timeless / verify access")+COUNTIFS('Activities'!$B$2:$B$100,A28,'Activities'!$F$2:$F$100,"Heritage site - verify current access")+COUNTIFS('Activities'!$B$2:$B$100,A28,'Activities'!$F$2:$F$100,"Timeless / current urban feature")+COUNTIFS('Activities'!$B$2:$B$100,A28,'Activities'!$F$2:$F$100,"Recurring tradition - verify current edition")+COUNTIFS('Activities'!$B$2:$B$100,A28,'Activities'!$F$2:$F$100,"Historical / verify current operation")</x:f>
        <x:v>2</x:v>
      </x:c>
      <x:c r="E28" s="30" t="n">
        <x:f>COUNTIFS('Activities'!$B$2:$B$100,A28,'Activities'!$F$2:$F$100,"Permanently closed")+COUNTIFS('Activities'!$B$2:$B$100,A28,'Activities'!$F$2:$F$100,"Temporarily closed")+COUNTIFS('Activities'!$B$2:$B$100,A28,'Activities'!$F$2:$F$100,"Status conflict")</x:f>
        <x:v>1</x:v>
      </x:c>
      <x:c r="F28" s="30" t="n">
        <x:f>COUNTIF('Activities'!$B$2:$B$100,A28)</x:f>
        <x:v>23</x:v>
      </x:c>
      <x:c r="G28" s="30" t="str">
        <x:f>IF(F28=0,"No named public activity verified","Activities found")</x:f>
        <x:v>Activities found</x:v>
      </x:c>
      <x:c r="H28" s="30" t="str">
        <x:v>Sports / Fitness</x:v>
      </x:c>
      <x:c r="I28" s="30" t="str"/>
    </x:row>
    <x:row r="29">
      <x:c r="A29" s="30" t="str">
        <x:v>Nabatieh Al-Fawqa</x:v>
      </x:c>
      <x:c r="B29" s="30" t="str">
        <x:v>Nabatiye el Faouqa</x:v>
      </x:c>
      <x:c r="C29" s="30" t="n">
        <x:f>COUNTIFS('Activities'!$B$2:$B$100,A29,'Activities'!$F$2:$F$100,"Active - verified")+COUNTIFS('Activities'!$B$2:$B$100,A29,'Activities'!$F$2:$F$100,"Active listing")+COUNTIFS('Activities'!$B$2:$B$100,A29,'Activities'!$F$2:$F$100,"Current public garden")+COUNTIFS('Activities'!$B$2:$B$100,A29,'Activities'!$F$2:$F$100,"Current directory listing")+COUNTIFS('Activities'!$B$2:$B$100,A29,'Activities'!$F$2:$F$100,"Current project / community facility")+COUNTIFS('Activities'!$B$2:$B$100,A29,'Activities'!$F$2:$F$100,"Current trail evidence")</x:f>
        <x:v>1</x:v>
      </x:c>
      <x:c r="D29" s="30" t="n">
        <x:f>COUNTIFS('Activities'!$B$2:$B$100,A29,'Activities'!$F$2:$F$100,"Timeless / verify access")+COUNTIFS('Activities'!$B$2:$B$100,A29,'Activities'!$F$2:$F$100,"Heritage site - verify current access")+COUNTIFS('Activities'!$B$2:$B$100,A29,'Activities'!$F$2:$F$100,"Timeless / current urban feature")+COUNTIFS('Activities'!$B$2:$B$100,A29,'Activities'!$F$2:$F$100,"Recurring tradition - verify current edition")+COUNTIFS('Activities'!$B$2:$B$100,A29,'Activities'!$F$2:$F$100,"Historical / verify current operation")</x:f>
        <x:v>0</x:v>
      </x:c>
      <x:c r="E29" s="30" t="n">
        <x:f>COUNTIFS('Activities'!$B$2:$B$100,A29,'Activities'!$F$2:$F$100,"Permanently closed")+COUNTIFS('Activities'!$B$2:$B$100,A29,'Activities'!$F$2:$F$100,"Temporarily closed")+COUNTIFS('Activities'!$B$2:$B$100,A29,'Activities'!$F$2:$F$100,"Status conflict")</x:f>
        <x:v>1</x:v>
      </x:c>
      <x:c r="F29" s="30" t="n">
        <x:f>COUNTIF('Activities'!$B$2:$B$100,A29)</x:f>
        <x:v>2</x:v>
      </x:c>
      <x:c r="G29" s="30" t="str">
        <x:f>IF(F29=0,"No named public activity verified","Activities found")</x:f>
        <x:v>Activities found</x:v>
      </x:c>
      <x:c r="H29" s="30" t="str">
        <x:v>Parks / Family + Sports / Fitness</x:v>
      </x:c>
      <x:c r="I29" s="30" t="str"/>
    </x:row>
    <x:row r="30">
      <x:c r="A30" s="30" t="str">
        <x:v>Nemriyeh</x:v>
      </x:c>
      <x:c r="B30" s="30" t="str">
        <x:v>Nmairiye</x:v>
      </x:c>
      <x:c r="C30" s="30" t="n">
        <x:f>COUNTIFS('Activities'!$B$2:$B$100,A30,'Activities'!$F$2:$F$100,"Active - verified")+COUNTIFS('Activities'!$B$2:$B$100,A30,'Activities'!$F$2:$F$100,"Active listing")+COUNTIFS('Activities'!$B$2:$B$100,A30,'Activities'!$F$2:$F$100,"Current public garden")+COUNTIFS('Activities'!$B$2:$B$100,A30,'Activities'!$F$2:$F$100,"Current directory listing")+COUNTIFS('Activities'!$B$2:$B$100,A30,'Activities'!$F$2:$F$100,"Current project / community facility")+COUNTIFS('Activities'!$B$2:$B$100,A30,'Activities'!$F$2:$F$100,"Current trail evidence")</x:f>
        <x:v>0</x:v>
      </x:c>
      <x:c r="D30" s="30" t="n">
        <x:f>COUNTIFS('Activities'!$B$2:$B$100,A30,'Activities'!$F$2:$F$100,"Timeless / verify access")+COUNTIFS('Activities'!$B$2:$B$100,A30,'Activities'!$F$2:$F$100,"Heritage site - verify current access")+COUNTIFS('Activities'!$B$2:$B$100,A30,'Activities'!$F$2:$F$100,"Timeless / current urban feature")+COUNTIFS('Activities'!$B$2:$B$100,A30,'Activities'!$F$2:$F$100,"Recurring tradition - verify current edition")+COUNTIFS('Activities'!$B$2:$B$100,A30,'Activities'!$F$2:$F$100,"Historical / verify current operation")</x:f>
        <x:v>0</x:v>
      </x:c>
      <x:c r="E30" s="30" t="n">
        <x:f>COUNTIFS('Activities'!$B$2:$B$100,A30,'Activities'!$F$2:$F$100,"Permanently closed")+COUNTIFS('Activities'!$B$2:$B$100,A30,'Activities'!$F$2:$F$100,"Temporarily closed")+COUNTIFS('Activities'!$B$2:$B$100,A30,'Activities'!$F$2:$F$100,"Status conflict")</x:f>
        <x:v>0</x:v>
      </x:c>
      <x:c r="F30" s="30" t="n">
        <x:f>COUNTIF('Activities'!$B$2:$B$100,A30)</x:f>
        <x:v>0</x:v>
      </x:c>
      <x:c r="G30" s="30" t="str">
        <x:f>IF(F30=0,"No named public activity verified","Activities found")</x:f>
        <x:v>No named public activity verified</x:v>
      </x:c>
      <x:c r="H30" s="30" t="str"/>
      <x:c r="I30" s="30" t="str">
        <x:v>No exact named public activity/attraction securely verified in current searches.</x:v>
      </x:c>
    </x:row>
    <x:row r="31">
      <x:c r="A31" s="30" t="str">
        <x:v>Roumine</x:v>
      </x:c>
      <x:c r="B31" s="30" t="str">
        <x:v>Roumine</x:v>
      </x:c>
      <x:c r="C31" s="30" t="n">
        <x:f>COUNTIFS('Activities'!$B$2:$B$100,A31,'Activities'!$F$2:$F$100,"Active - verified")+COUNTIFS('Activities'!$B$2:$B$100,A31,'Activities'!$F$2:$F$100,"Active listing")+COUNTIFS('Activities'!$B$2:$B$100,A31,'Activities'!$F$2:$F$100,"Current public garden")+COUNTIFS('Activities'!$B$2:$B$100,A31,'Activities'!$F$2:$F$100,"Current directory listing")+COUNTIFS('Activities'!$B$2:$B$100,A31,'Activities'!$F$2:$F$100,"Current project / community facility")+COUNTIFS('Activities'!$B$2:$B$100,A31,'Activities'!$F$2:$F$100,"Current trail evidence")</x:f>
        <x:v>0</x:v>
      </x:c>
      <x:c r="D31" s="30" t="n">
        <x:f>COUNTIFS('Activities'!$B$2:$B$100,A31,'Activities'!$F$2:$F$100,"Timeless / verify access")+COUNTIFS('Activities'!$B$2:$B$100,A31,'Activities'!$F$2:$F$100,"Heritage site - verify current access")+COUNTIFS('Activities'!$B$2:$B$100,A31,'Activities'!$F$2:$F$100,"Timeless / current urban feature")+COUNTIFS('Activities'!$B$2:$B$100,A31,'Activities'!$F$2:$F$100,"Recurring tradition - verify current edition")+COUNTIFS('Activities'!$B$2:$B$100,A31,'Activities'!$F$2:$F$100,"Historical / verify current operation")</x:f>
        <x:v>2</x:v>
      </x:c>
      <x:c r="E31" s="30" t="n">
        <x:f>COUNTIFS('Activities'!$B$2:$B$100,A31,'Activities'!$F$2:$F$100,"Permanently closed")+COUNTIFS('Activities'!$B$2:$B$100,A31,'Activities'!$F$2:$F$100,"Temporarily closed")+COUNTIFS('Activities'!$B$2:$B$100,A31,'Activities'!$F$2:$F$100,"Status conflict")</x:f>
        <x:v>0</x:v>
      </x:c>
      <x:c r="F31" s="30" t="n">
        <x:f>COUNTIF('Activities'!$B$2:$B$100,A31)</x:f>
        <x:v>2</x:v>
      </x:c>
      <x:c r="G31" s="30" t="str">
        <x:f>IF(F31=0,"No named public activity verified","Activities found")</x:f>
        <x:v>Activities found</x:v>
      </x:c>
      <x:c r="H31" s="30" t="str">
        <x:v>Heritage / Culture + Nature / Hiking</x:v>
      </x:c>
      <x:c r="I31" s="30" t="str"/>
    </x:row>
    <x:row r="32">
      <x:c r="A32" s="30" t="str">
        <x:v>Sarba</x:v>
      </x:c>
      <x:c r="B32" s="30" t="str">
        <x:v>Sarba El Nabatieh</x:v>
      </x:c>
      <x:c r="C32" s="30" t="n">
        <x:f>COUNTIFS('Activities'!$B$2:$B$100,A32,'Activities'!$F$2:$F$100,"Active - verified")+COUNTIFS('Activities'!$B$2:$B$100,A32,'Activities'!$F$2:$F$100,"Active listing")+COUNTIFS('Activities'!$B$2:$B$100,A32,'Activities'!$F$2:$F$100,"Current public garden")+COUNTIFS('Activities'!$B$2:$B$100,A32,'Activities'!$F$2:$F$100,"Current directory listing")+COUNTIFS('Activities'!$B$2:$B$100,A32,'Activities'!$F$2:$F$100,"Current project / community facility")+COUNTIFS('Activities'!$B$2:$B$100,A32,'Activities'!$F$2:$F$100,"Current trail evidence")</x:f>
        <x:v>0</x:v>
      </x:c>
      <x:c r="D32" s="30" t="n">
        <x:f>COUNTIFS('Activities'!$B$2:$B$100,A32,'Activities'!$F$2:$F$100,"Timeless / verify access")+COUNTIFS('Activities'!$B$2:$B$100,A32,'Activities'!$F$2:$F$100,"Heritage site - verify current access")+COUNTIFS('Activities'!$B$2:$B$100,A32,'Activities'!$F$2:$F$100,"Timeless / current urban feature")+COUNTIFS('Activities'!$B$2:$B$100,A32,'Activities'!$F$2:$F$100,"Recurring tradition - verify current edition")+COUNTIFS('Activities'!$B$2:$B$100,A32,'Activities'!$F$2:$F$100,"Historical / verify current operation")</x:f>
        <x:v>5</x:v>
      </x:c>
      <x:c r="E32" s="30" t="n">
        <x:f>COUNTIFS('Activities'!$B$2:$B$100,A32,'Activities'!$F$2:$F$100,"Permanently closed")+COUNTIFS('Activities'!$B$2:$B$100,A32,'Activities'!$F$2:$F$100,"Temporarily closed")+COUNTIFS('Activities'!$B$2:$B$100,A32,'Activities'!$F$2:$F$100,"Status conflict")</x:f>
        <x:v>0</x:v>
      </x:c>
      <x:c r="F32" s="30" t="n">
        <x:f>COUNTIF('Activities'!$B$2:$B$100,A32)</x:f>
        <x:v>5</x:v>
      </x:c>
      <x:c r="G32" s="30" t="str">
        <x:f>IF(F32=0,"No named public activity verified","Activities found")</x:f>
        <x:v>Activities found</x:v>
      </x:c>
      <x:c r="H32" s="30" t="str">
        <x:v>Heritage / Culture</x:v>
      </x:c>
      <x:c r="I32" s="30" t="str"/>
    </x:row>
    <x:row r="33">
      <x:c r="A33" s="30" t="str">
        <x:v>Seen / Siney</x:v>
      </x:c>
      <x:c r="B33" s="30" t="str">
        <x:v>Seen / Siney</x:v>
      </x:c>
      <x:c r="C33" s="30" t="n">
        <x:f>COUNTIFS('Activities'!$B$2:$B$100,A33,'Activities'!$F$2:$F$100,"Active - verified")+COUNTIFS('Activities'!$B$2:$B$100,A33,'Activities'!$F$2:$F$100,"Active listing")+COUNTIFS('Activities'!$B$2:$B$100,A33,'Activities'!$F$2:$F$100,"Current public garden")+COUNTIFS('Activities'!$B$2:$B$100,A33,'Activities'!$F$2:$F$100,"Current directory listing")+COUNTIFS('Activities'!$B$2:$B$100,A33,'Activities'!$F$2:$F$100,"Current project / community facility")+COUNTIFS('Activities'!$B$2:$B$100,A33,'Activities'!$F$2:$F$100,"Current trail evidence")</x:f>
        <x:v>0</x:v>
      </x:c>
      <x:c r="D33" s="30" t="n">
        <x:f>COUNTIFS('Activities'!$B$2:$B$100,A33,'Activities'!$F$2:$F$100,"Timeless / verify access")+COUNTIFS('Activities'!$B$2:$B$100,A33,'Activities'!$F$2:$F$100,"Heritage site - verify current access")+COUNTIFS('Activities'!$B$2:$B$100,A33,'Activities'!$F$2:$F$100,"Timeless / current urban feature")+COUNTIFS('Activities'!$B$2:$B$100,A33,'Activities'!$F$2:$F$100,"Recurring tradition - verify current edition")+COUNTIFS('Activities'!$B$2:$B$100,A33,'Activities'!$F$2:$F$100,"Historical / verify current operation")</x:f>
        <x:v>0</x:v>
      </x:c>
      <x:c r="E33" s="30" t="n">
        <x:f>COUNTIFS('Activities'!$B$2:$B$100,A33,'Activities'!$F$2:$F$100,"Permanently closed")+COUNTIFS('Activities'!$B$2:$B$100,A33,'Activities'!$F$2:$F$100,"Temporarily closed")+COUNTIFS('Activities'!$B$2:$B$100,A33,'Activities'!$F$2:$F$100,"Status conflict")</x:f>
        <x:v>0</x:v>
      </x:c>
      <x:c r="F33" s="30" t="n">
        <x:f>COUNTIF('Activities'!$B$2:$B$100,A33)</x:f>
        <x:v>0</x:v>
      </x:c>
      <x:c r="G33" s="30" t="str">
        <x:f>IF(F33=0,"No named public activity verified","Activities found")</x:f>
        <x:v>No named public activity verified</x:v>
      </x:c>
      <x:c r="H33" s="30" t="str"/>
      <x:c r="I33" s="30" t="str">
        <x:v>No exact named public activity/attraction securely verified in current searches.</x:v>
      </x:c>
    </x:row>
    <x:row r="34">
      <x:c r="A34" s="30" t="str">
        <x:v>Sir Al-Gharbiyeh</x:v>
      </x:c>
      <x:c r="B34" s="30" t="str">
        <x:v>Sir el Gharbiye</x:v>
      </x:c>
      <x:c r="C34" s="30" t="n">
        <x:f>COUNTIFS('Activities'!$B$2:$B$100,A34,'Activities'!$F$2:$F$100,"Active - verified")+COUNTIFS('Activities'!$B$2:$B$100,A34,'Activities'!$F$2:$F$100,"Active listing")+COUNTIFS('Activities'!$B$2:$B$100,A34,'Activities'!$F$2:$F$100,"Current public garden")+COUNTIFS('Activities'!$B$2:$B$100,A34,'Activities'!$F$2:$F$100,"Current directory listing")+COUNTIFS('Activities'!$B$2:$B$100,A34,'Activities'!$F$2:$F$100,"Current project / community facility")+COUNTIFS('Activities'!$B$2:$B$100,A34,'Activities'!$F$2:$F$100,"Current trail evidence")</x:f>
        <x:v>0</x:v>
      </x:c>
      <x:c r="D34" s="30" t="n">
        <x:f>COUNTIFS('Activities'!$B$2:$B$100,A34,'Activities'!$F$2:$F$100,"Timeless / verify access")+COUNTIFS('Activities'!$B$2:$B$100,A34,'Activities'!$F$2:$F$100,"Heritage site - verify current access")+COUNTIFS('Activities'!$B$2:$B$100,A34,'Activities'!$F$2:$F$100,"Timeless / current urban feature")+COUNTIFS('Activities'!$B$2:$B$100,A34,'Activities'!$F$2:$F$100,"Recurring tradition - verify current edition")+COUNTIFS('Activities'!$B$2:$B$100,A34,'Activities'!$F$2:$F$100,"Historical / verify current operation")</x:f>
        <x:v>0</x:v>
      </x:c>
      <x:c r="E34" s="30" t="n">
        <x:f>COUNTIFS('Activities'!$B$2:$B$100,A34,'Activities'!$F$2:$F$100,"Permanently closed")+COUNTIFS('Activities'!$B$2:$B$100,A34,'Activities'!$F$2:$F$100,"Temporarily closed")+COUNTIFS('Activities'!$B$2:$B$100,A34,'Activities'!$F$2:$F$100,"Status conflict")</x:f>
        <x:v>0</x:v>
      </x:c>
      <x:c r="F34" s="30" t="n">
        <x:f>COUNTIF('Activities'!$B$2:$B$100,A34)</x:f>
        <x:v>0</x:v>
      </x:c>
      <x:c r="G34" s="30" t="str">
        <x:f>IF(F34=0,"No named public activity verified","Activities found")</x:f>
        <x:v>No named public activity verified</x:v>
      </x:c>
      <x:c r="H34" s="30" t="str"/>
      <x:c r="I34" s="30" t="str">
        <x:v>No exact named public activity/attraction securely verified; similarly named localities elsewhere in Lebanon were excluded.</x:v>
      </x:c>
    </x:row>
    <x:row r="35">
      <x:c r="A35" s="30" t="str">
        <x:v>Yohmor Al-Shaqif</x:v>
      </x:c>
      <x:c r="B35" s="30" t="str">
        <x:v>Yohmor</x:v>
      </x:c>
      <x:c r="C35" s="30" t="n">
        <x:f>COUNTIFS('Activities'!$B$2:$B$100,A35,'Activities'!$F$2:$F$100,"Active - verified")+COUNTIFS('Activities'!$B$2:$B$100,A35,'Activities'!$F$2:$F$100,"Active listing")+COUNTIFS('Activities'!$B$2:$B$100,A35,'Activities'!$F$2:$F$100,"Current public garden")+COUNTIFS('Activities'!$B$2:$B$100,A35,'Activities'!$F$2:$F$100,"Current directory listing")+COUNTIFS('Activities'!$B$2:$B$100,A35,'Activities'!$F$2:$F$100,"Current project / community facility")+COUNTIFS('Activities'!$B$2:$B$100,A35,'Activities'!$F$2:$F$100,"Current trail evidence")</x:f>
        <x:v>1</x:v>
      </x:c>
      <x:c r="D35" s="30" t="n">
        <x:f>COUNTIFS('Activities'!$B$2:$B$100,A35,'Activities'!$F$2:$F$100,"Timeless / verify access")+COUNTIFS('Activities'!$B$2:$B$100,A35,'Activities'!$F$2:$F$100,"Heritage site - verify current access")+COUNTIFS('Activities'!$B$2:$B$100,A35,'Activities'!$F$2:$F$100,"Timeless / current urban feature")+COUNTIFS('Activities'!$B$2:$B$100,A35,'Activities'!$F$2:$F$100,"Recurring tradition - verify current edition")+COUNTIFS('Activities'!$B$2:$B$100,A35,'Activities'!$F$2:$F$100,"Historical / verify current operation")</x:f>
        <x:v>0</x:v>
      </x:c>
      <x:c r="E35" s="30" t="n">
        <x:f>COUNTIFS('Activities'!$B$2:$B$100,A35,'Activities'!$F$2:$F$100,"Permanently closed")+COUNTIFS('Activities'!$B$2:$B$100,A35,'Activities'!$F$2:$F$100,"Temporarily closed")+COUNTIFS('Activities'!$B$2:$B$100,A35,'Activities'!$F$2:$F$100,"Status conflict")</x:f>
        <x:v>0</x:v>
      </x:c>
      <x:c r="F35" s="30" t="n">
        <x:f>COUNTIF('Activities'!$B$2:$B$100,A35)</x:f>
        <x:v>1</x:v>
      </x:c>
      <x:c r="G35" s="30" t="str">
        <x:f>IF(F35=0,"No named public activity verified","Activities found")</x:f>
        <x:v>Activities found</x:v>
      </x:c>
      <x:c r="H35" s="30" t="str">
        <x:v>Sports / Fitness</x:v>
      </x:c>
      <x:c r="I35" s="30" t="str"/>
    </x:row>
    <x:row r="36">
      <x:c r="A36" s="30" t="str">
        <x:v>Zawtar Al-Sharqiya</x:v>
      </x:c>
      <x:c r="B36" s="30" t="str">
        <x:v>Zaoutar ech Charqiye</x:v>
      </x:c>
      <x:c r="C36" s="30" t="n">
        <x:f>COUNTIFS('Activities'!$B$2:$B$100,A36,'Activities'!$F$2:$F$100,"Active - verified")+COUNTIFS('Activities'!$B$2:$B$100,A36,'Activities'!$F$2:$F$100,"Active listing")+COUNTIFS('Activities'!$B$2:$B$100,A36,'Activities'!$F$2:$F$100,"Current public garden")+COUNTIFS('Activities'!$B$2:$B$100,A36,'Activities'!$F$2:$F$100,"Current directory listing")+COUNTIFS('Activities'!$B$2:$B$100,A36,'Activities'!$F$2:$F$100,"Current project / community facility")+COUNTIFS('Activities'!$B$2:$B$100,A36,'Activities'!$F$2:$F$100,"Current trail evidence")</x:f>
        <x:v>0</x:v>
      </x:c>
      <x:c r="D36" s="30" t="n">
        <x:f>COUNTIFS('Activities'!$B$2:$B$100,A36,'Activities'!$F$2:$F$100,"Timeless / verify access")+COUNTIFS('Activities'!$B$2:$B$100,A36,'Activities'!$F$2:$F$100,"Heritage site - verify current access")+COUNTIFS('Activities'!$B$2:$B$100,A36,'Activities'!$F$2:$F$100,"Timeless / current urban feature")+COUNTIFS('Activities'!$B$2:$B$100,A36,'Activities'!$F$2:$F$100,"Recurring tradition - verify current edition")+COUNTIFS('Activities'!$B$2:$B$100,A36,'Activities'!$F$2:$F$100,"Historical / verify current operation")</x:f>
        <x:v>0</x:v>
      </x:c>
      <x:c r="E36" s="30" t="n">
        <x:f>COUNTIFS('Activities'!$B$2:$B$100,A36,'Activities'!$F$2:$F$100,"Permanently closed")+COUNTIFS('Activities'!$B$2:$B$100,A36,'Activities'!$F$2:$F$100,"Temporarily closed")+COUNTIFS('Activities'!$B$2:$B$100,A36,'Activities'!$F$2:$F$100,"Status conflict")</x:f>
        <x:v>1</x:v>
      </x:c>
      <x:c r="F36" s="30" t="n">
        <x:f>COUNTIF('Activities'!$B$2:$B$100,A36)</x:f>
        <x:v>1</x:v>
      </x:c>
      <x:c r="G36" s="30" t="str">
        <x:f>IF(F36=0,"No named public activity verified","Activities found")</x:f>
        <x:v>Activities found</x:v>
      </x:c>
      <x:c r="H36" s="30" t="str">
        <x:v>Sports / Fitness</x:v>
      </x:c>
      <x:c r="I36" s="30" t="str"/>
    </x:row>
    <x:row r="37">
      <x:c r="A37" s="30" t="str">
        <x:v>Zawtar Al-Gharbiya</x:v>
      </x:c>
      <x:c r="B37" s="30" t="str">
        <x:v>Zaoutar el Gharbiye</x:v>
      </x:c>
      <x:c r="C37" s="30" t="n">
        <x:f>COUNTIFS('Activities'!$B$2:$B$100,A37,'Activities'!$F$2:$F$100,"Active - verified")+COUNTIFS('Activities'!$B$2:$B$100,A37,'Activities'!$F$2:$F$100,"Active listing")+COUNTIFS('Activities'!$B$2:$B$100,A37,'Activities'!$F$2:$F$100,"Current public garden")+COUNTIFS('Activities'!$B$2:$B$100,A37,'Activities'!$F$2:$F$100,"Current directory listing")+COUNTIFS('Activities'!$B$2:$B$100,A37,'Activities'!$F$2:$F$100,"Current project / community facility")+COUNTIFS('Activities'!$B$2:$B$100,A37,'Activities'!$F$2:$F$100,"Current trail evidence")</x:f>
        <x:v>0</x:v>
      </x:c>
      <x:c r="D37" s="30" t="n">
        <x:f>COUNTIFS('Activities'!$B$2:$B$100,A37,'Activities'!$F$2:$F$100,"Timeless / verify access")+COUNTIFS('Activities'!$B$2:$B$100,A37,'Activities'!$F$2:$F$100,"Heritage site - verify current access")+COUNTIFS('Activities'!$B$2:$B$100,A37,'Activities'!$F$2:$F$100,"Timeless / current urban feature")+COUNTIFS('Activities'!$B$2:$B$100,A37,'Activities'!$F$2:$F$100,"Recurring tradition - verify current edition")+COUNTIFS('Activities'!$B$2:$B$100,A37,'Activities'!$F$2:$F$100,"Historical / verify current operation")</x:f>
        <x:v>0</x:v>
      </x:c>
      <x:c r="E37" s="30" t="n">
        <x:f>COUNTIFS('Activities'!$B$2:$B$100,A37,'Activities'!$F$2:$F$100,"Permanently closed")+COUNTIFS('Activities'!$B$2:$B$100,A37,'Activities'!$F$2:$F$100,"Temporarily closed")+COUNTIFS('Activities'!$B$2:$B$100,A37,'Activities'!$F$2:$F$100,"Status conflict")</x:f>
        <x:v>1</x:v>
      </x:c>
      <x:c r="F37" s="30" t="n">
        <x:f>COUNTIF('Activities'!$B$2:$B$100,A37)</x:f>
        <x:v>1</x:v>
      </x:c>
      <x:c r="G37" s="30" t="str">
        <x:f>IF(F37=0,"No named public activity verified","Activities found")</x:f>
        <x:v>Activities found</x:v>
      </x:c>
      <x:c r="H37" s="30" t="str">
        <x:v>Resorts / Pools</x:v>
      </x:c>
      <x:c r="I37" s="30" t="str"/>
    </x:row>
    <x:row r="38">
      <x:c r="A38" s="30" t="str">
        <x:v>Zibdeen</x:v>
      </x:c>
      <x:c r="B38" s="30" t="str">
        <x:v>Zebdine El Nabatieh</x:v>
      </x:c>
      <x:c r="C38" s="30" t="n">
        <x:f>COUNTIFS('Activities'!$B$2:$B$100,A38,'Activities'!$F$2:$F$100,"Active - verified")+COUNTIFS('Activities'!$B$2:$B$100,A38,'Activities'!$F$2:$F$100,"Active listing")+COUNTIFS('Activities'!$B$2:$B$100,A38,'Activities'!$F$2:$F$100,"Current public garden")+COUNTIFS('Activities'!$B$2:$B$100,A38,'Activities'!$F$2:$F$100,"Current directory listing")+COUNTIFS('Activities'!$B$2:$B$100,A38,'Activities'!$F$2:$F$100,"Current project / community facility")+COUNTIFS('Activities'!$B$2:$B$100,A38,'Activities'!$F$2:$F$100,"Current trail evidence")</x:f>
        <x:v>0</x:v>
      </x:c>
      <x:c r="D38" s="30" t="n">
        <x:f>COUNTIFS('Activities'!$B$2:$B$100,A38,'Activities'!$F$2:$F$100,"Timeless / verify access")+COUNTIFS('Activities'!$B$2:$B$100,A38,'Activities'!$F$2:$F$100,"Heritage site - verify current access")+COUNTIFS('Activities'!$B$2:$B$100,A38,'Activities'!$F$2:$F$100,"Timeless / current urban feature")+COUNTIFS('Activities'!$B$2:$B$100,A38,'Activities'!$F$2:$F$100,"Recurring tradition - verify current edition")+COUNTIFS('Activities'!$B$2:$B$100,A38,'Activities'!$F$2:$F$100,"Historical / verify current operation")</x:f>
        <x:v>0</x:v>
      </x:c>
      <x:c r="E38" s="30" t="n">
        <x:f>COUNTIFS('Activities'!$B$2:$B$100,A38,'Activities'!$F$2:$F$100,"Permanently closed")+COUNTIFS('Activities'!$B$2:$B$100,A38,'Activities'!$F$2:$F$100,"Temporarily closed")+COUNTIFS('Activities'!$B$2:$B$100,A38,'Activities'!$F$2:$F$100,"Status conflict")</x:f>
        <x:v>1</x:v>
      </x:c>
      <x:c r="F38" s="30" t="n">
        <x:f>COUNTIF('Activities'!$B$2:$B$100,A38)</x:f>
        <x:v>1</x:v>
      </x:c>
      <x:c r="G38" s="30" t="str">
        <x:f>IF(F38=0,"No named public activity verified","Activities found")</x:f>
        <x:v>Activities found</x:v>
      </x:c>
      <x:c r="H38" s="30" t="str">
        <x:v>Sports / Fitness</x:v>
      </x:c>
      <x:c r="I38" s="30" t="str"/>
    </x:row>
    <x:row r="39">
      <x:c r="A39" s="30" t="str">
        <x:v>Zefta</x:v>
      </x:c>
      <x:c r="B39" s="30" t="str">
        <x:v>Zefta</x:v>
      </x:c>
      <x:c r="C39" s="30" t="n">
        <x:f>COUNTIFS('Activities'!$B$2:$B$100,A39,'Activities'!$F$2:$F$100,"Active - verified")+COUNTIFS('Activities'!$B$2:$B$100,A39,'Activities'!$F$2:$F$100,"Active listing")+COUNTIFS('Activities'!$B$2:$B$100,A39,'Activities'!$F$2:$F$100,"Current public garden")+COUNTIFS('Activities'!$B$2:$B$100,A39,'Activities'!$F$2:$F$100,"Current directory listing")+COUNTIFS('Activities'!$B$2:$B$100,A39,'Activities'!$F$2:$F$100,"Current project / community facility")+COUNTIFS('Activities'!$B$2:$B$100,A39,'Activities'!$F$2:$F$100,"Current trail evidence")</x:f>
        <x:v>3</x:v>
      </x:c>
      <x:c r="D39" s="30" t="n">
        <x:f>COUNTIFS('Activities'!$B$2:$B$100,A39,'Activities'!$F$2:$F$100,"Timeless / verify access")+COUNTIFS('Activities'!$B$2:$B$100,A39,'Activities'!$F$2:$F$100,"Heritage site - verify current access")+COUNTIFS('Activities'!$B$2:$B$100,A39,'Activities'!$F$2:$F$100,"Timeless / current urban feature")+COUNTIFS('Activities'!$B$2:$B$100,A39,'Activities'!$F$2:$F$100,"Recurring tradition - verify current edition")+COUNTIFS('Activities'!$B$2:$B$100,A39,'Activities'!$F$2:$F$100,"Historical / verify current operation")</x:f>
        <x:v>0</x:v>
      </x:c>
      <x:c r="E39" s="30" t="n">
        <x:f>COUNTIFS('Activities'!$B$2:$B$100,A39,'Activities'!$F$2:$F$100,"Permanently closed")+COUNTIFS('Activities'!$B$2:$B$100,A39,'Activities'!$F$2:$F$100,"Temporarily closed")+COUNTIFS('Activities'!$B$2:$B$100,A39,'Activities'!$F$2:$F$100,"Status conflict")</x:f>
        <x:v>0</x:v>
      </x:c>
      <x:c r="F39" s="30" t="n">
        <x:f>COUNTIF('Activities'!$B$2:$B$100,A39)</x:f>
        <x:v>3</x:v>
      </x:c>
      <x:c r="G39" s="30" t="str">
        <x:f>IF(F39=0,"No named public activity verified","Activities found")</x:f>
        <x:v>Activities found</x:v>
      </x:c>
      <x:c r="H39" s="30" t="str">
        <x:v>Sports / Fitness</x:v>
      </x:c>
      <x:c r="I39" s="30" t="str"/>
    </x:row>
    <x:row r="40">
      <x:c r="A40" s="30" t="str">
        <x:v>Ezza</x:v>
      </x:c>
      <x:c r="B40" s="30" t="str">
        <x:v>Aazze</x:v>
      </x:c>
      <x:c r="C40" s="30" t="n">
        <x:f>COUNTIFS('Activities'!$B$2:$B$100,A40,'Activities'!$F$2:$F$100,"Active - verified")+COUNTIFS('Activities'!$B$2:$B$100,A40,'Activities'!$F$2:$F$100,"Active listing")+COUNTIFS('Activities'!$B$2:$B$100,A40,'Activities'!$F$2:$F$100,"Current public garden")+COUNTIFS('Activities'!$B$2:$B$100,A40,'Activities'!$F$2:$F$100,"Current directory listing")+COUNTIFS('Activities'!$B$2:$B$100,A40,'Activities'!$F$2:$F$100,"Current project / community facility")+COUNTIFS('Activities'!$B$2:$B$100,A40,'Activities'!$F$2:$F$100,"Current trail evidence")</x:f>
        <x:v>0</x:v>
      </x:c>
      <x:c r="D40" s="30" t="n">
        <x:f>COUNTIFS('Activities'!$B$2:$B$100,A40,'Activities'!$F$2:$F$100,"Timeless / verify access")+COUNTIFS('Activities'!$B$2:$B$100,A40,'Activities'!$F$2:$F$100,"Heritage site - verify current access")+COUNTIFS('Activities'!$B$2:$B$100,A40,'Activities'!$F$2:$F$100,"Timeless / current urban feature")+COUNTIFS('Activities'!$B$2:$B$100,A40,'Activities'!$F$2:$F$100,"Recurring tradition - verify current edition")+COUNTIFS('Activities'!$B$2:$B$100,A40,'Activities'!$F$2:$F$100,"Historical / verify current operation")</x:f>
        <x:v>0</x:v>
      </x:c>
      <x:c r="E40" s="30" t="n">
        <x:f>COUNTIFS('Activities'!$B$2:$B$100,A40,'Activities'!$F$2:$F$100,"Permanently closed")+COUNTIFS('Activities'!$B$2:$B$100,A40,'Activities'!$F$2:$F$100,"Temporarily closed")+COUNTIFS('Activities'!$B$2:$B$100,A40,'Activities'!$F$2:$F$100,"Status conflict")</x:f>
        <x:v>0</x:v>
      </x:c>
      <x:c r="F40" s="30" t="n">
        <x:f>COUNTIF('Activities'!$B$2:$B$100,A40)</x:f>
        <x:v>0</x:v>
      </x:c>
      <x:c r="G40" s="30" t="str">
        <x:f>IF(F40=0,"No named public activity verified","Activities found")</x:f>
        <x:v>No named public activity verified</x:v>
      </x:c>
      <x:c r="H40" s="30" t="str"/>
      <x:c r="I40" s="30" t="str">
        <x:v>No exact named public activity/attraction securely verified in current searches.</x:v>
      </x:c>
    </x:row>
    <x:row r="41">
      <x:c r="A41" s="30" t="str">
        <x:v>Nabatieh Al-Tahta</x:v>
      </x:c>
      <x:c r="B41" s="30" t="str">
        <x:v>Nabatiye el Tahta</x:v>
      </x:c>
      <x:c r="C41" s="30" t="n">
        <x:f>COUNTIFS('Activities'!$B$2:$B$100,A41,'Activities'!$F$2:$F$100,"Active - verified")+COUNTIFS('Activities'!$B$2:$B$100,A41,'Activities'!$F$2:$F$100,"Active listing")+COUNTIFS('Activities'!$B$2:$B$100,A41,'Activities'!$F$2:$F$100,"Current public garden")+COUNTIFS('Activities'!$B$2:$B$100,A41,'Activities'!$F$2:$F$100,"Current directory listing")+COUNTIFS('Activities'!$B$2:$B$100,A41,'Activities'!$F$2:$F$100,"Current project / community facility")+COUNTIFS('Activities'!$B$2:$B$100,A41,'Activities'!$F$2:$F$100,"Current trail evidence")</x:f>
        <x:v>0</x:v>
      </x:c>
      <x:c r="D41" s="30" t="n">
        <x:f>COUNTIFS('Activities'!$B$2:$B$100,A41,'Activities'!$F$2:$F$100,"Timeless / verify access")+COUNTIFS('Activities'!$B$2:$B$100,A41,'Activities'!$F$2:$F$100,"Heritage site - verify current access")+COUNTIFS('Activities'!$B$2:$B$100,A41,'Activities'!$F$2:$F$100,"Timeless / current urban feature")+COUNTIFS('Activities'!$B$2:$B$100,A41,'Activities'!$F$2:$F$100,"Recurring tradition - verify current edition")+COUNTIFS('Activities'!$B$2:$B$100,A41,'Activities'!$F$2:$F$100,"Historical / verify current operation")</x:f>
        <x:v>0</x:v>
      </x:c>
      <x:c r="E41" s="30" t="n">
        <x:f>COUNTIFS('Activities'!$B$2:$B$100,A41,'Activities'!$F$2:$F$100,"Permanently closed")+COUNTIFS('Activities'!$B$2:$B$100,A41,'Activities'!$F$2:$F$100,"Temporarily closed")+COUNTIFS('Activities'!$B$2:$B$100,A41,'Activities'!$F$2:$F$100,"Status conflict")</x:f>
        <x:v>0</x:v>
      </x:c>
      <x:c r="F41" s="30" t="n">
        <x:f>COUNTIF('Activities'!$B$2:$B$100,A41)</x:f>
        <x:v>0</x:v>
      </x:c>
      <x:c r="G41" s="30" t="str">
        <x:f>IF(F41=0,"No named public activity verified","Activities found")</x:f>
        <x:v>No named public activity verified</x:v>
      </x:c>
      <x:c r="H41" s="30" t="str"/>
      <x:c r="I41" s="30" t="str">
        <x:v>No activity was assigned solely to Al-Tahta with strong enough current locality evidence; The Spot and other citywide activities remain under Nabatieh to avoid double counting.</x:v>
      </x:c>
    </x:row>
  </x:sheetData>
  <x:conditionalFormatting sqref="A2:I41">
    <x:cfRule type="expression" dxfId="4" priority="1">
      <x:formula>F2=0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17d4b8351984df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24" hidden="0" customWidth="1"/>
    <x:col min="3" max="3" width="34" hidden="0" customWidth="1"/>
    <x:col min="4" max="4" width="24" hidden="0" customWidth="1"/>
    <x:col min="5" max="5" width="24" hidden="0" customWidth="1"/>
    <x:col min="6" max="6" width="28" hidden="0" customWidth="1"/>
    <x:col min="7" max="7" width="48" hidden="0" customWidth="1"/>
    <x:col min="8" max="8" width="38" hidden="0" customWidth="1"/>
    <x:col min="9" max="9" width="18" hidden="0" customWidth="1"/>
    <x:col min="10" max="10" width="10" hidden="0" customWidth="1"/>
    <x:col min="11" max="11" width="10" hidden="0" customWidth="1"/>
    <x:col min="12" max="12" width="28" hidden="0" customWidth="1"/>
    <x:col min="13" max="13" width="24" hidden="0" customWidth="1"/>
    <x:col min="14" max="14" width="12" hidden="0" customWidth="1"/>
    <x:col min="15" max="15" width="24" hidden="0" customWidth="1"/>
    <x:col min="16" max="16" width="34" hidden="0" customWidth="1"/>
    <x:col min="17" max="17" width="46" hidden="0" customWidth="1"/>
    <x:col min="18" max="18" width="46" hidden="0" customWidth="1"/>
    <x:col min="19" max="19" width="54" hidden="0" customWidth="1"/>
    <x:col min="20" max="20" width="14" hidden="0" customWidth="1"/>
  </x:cols>
  <x:sheetData>
    <x:row r="1">
      <x:c r="A1" s="26" t="str">
        <x:v>ID</x:v>
      </x:c>
      <x:c r="B1" s="26" t="str">
        <x:v>Canonical Locality</x:v>
      </x:c>
      <x:c r="C1" s="26" t="str">
        <x:v>Activity / Place</x:v>
      </x:c>
      <x:c r="D1" s="26" t="str">
        <x:v>Category</x:v>
      </x:c>
      <x:c r="E1" s="26" t="str">
        <x:v>Category Group</x:v>
      </x:c>
      <x:c r="F1" s="26" t="str">
        <x:v>Status</x:v>
      </x:c>
      <x:c r="G1" s="26" t="str">
        <x:v>What You Can Do</x:v>
      </x:c>
      <x:c r="H1" s="26" t="str">
        <x:v>Address / Area</x:v>
      </x:c>
      <x:c r="I1" s="26" t="str">
        <x:v>Phone</x:v>
      </x:c>
      <x:c r="J1" s="26" t="str">
        <x:v>Rating</x:v>
      </x:c>
      <x:c r="K1" s="26" t="str">
        <x:v>Reviews</x:v>
      </x:c>
      <x:c r="L1" s="26" t="str">
        <x:v>Hours</x:v>
      </x:c>
      <x:c r="M1" s="26" t="str">
        <x:v>Public Access</x:v>
      </x:c>
      <x:c r="N1" s="26" t="str">
        <x:v>Confidence</x:v>
      </x:c>
      <x:c r="O1" s="26" t="str">
        <x:v>Locality Match</x:v>
      </x:c>
      <x:c r="P1" s="26" t="str">
        <x:v>Evidence Source</x:v>
      </x:c>
      <x:c r="Q1" s="26" t="str">
        <x:v>Source URL</x:v>
      </x:c>
      <x:c r="R1" s="26" t="str">
        <x:v>Map / Search Link</x:v>
      </x:c>
      <x:c r="S1" s="26" t="str">
        <x:v>Notes</x:v>
      </x:c>
      <x:c r="T1" s="26" t="str">
        <x:v>Last Checked</x:v>
      </x:c>
    </x:row>
    <x:row r="2">
      <x:c r="A2" s="30" t="n">
        <x:v>1</x:v>
      </x:c>
      <x:c r="B2" s="30" t="str">
        <x:v>Ain Qana</x:v>
      </x:c>
      <x:c r="C2" s="30" t="str">
        <x:v>Ain Qana Mini-Football Court</x:v>
      </x:c>
      <x:c r="D2" s="30" t="str">
        <x:v>Sports / Football</x:v>
      </x:c>
      <x:c r="E2" s="30" t="str">
        <x:v>Sports / Fitness</x:v>
      </x:c>
      <x:c r="F2" s="30" t="str">
        <x:v>Current project / community facility</x:v>
      </x:c>
      <x:c r="G2" s="30" t="str">
        <x:v>Play mini-football; youth football academy and tournaments were part of the project.</x:v>
      </x:c>
      <x:c r="H2" s="30" t="str">
        <x:v>Ain Qana</x:v>
      </x:c>
      <x:c r="I2" s="30" t="str"/>
      <x:c r="J2" s="32"/>
      <x:c r="K2" s="34"/>
      <x:c r="L2" s="30" t="str"/>
      <x:c r="M2" s="30" t="str">
        <x:v>Community facility</x:v>
      </x:c>
      <x:c r="N2" s="30" t="str">
        <x:v>High</x:v>
      </x:c>
      <x:c r="O2" s="30" t="str">
        <x:v>Exact village</x:v>
      </x:c>
      <x:c r="P2" s="30" t="str">
        <x:v>EU Delegation to Lebanon / EEAS</x:v>
      </x:c>
      <x:c r="Q2" s="30" t="str">
        <x:v>https://www.eeas.europa.eu/delegations/lebanon/forward-lebanon-mini-football-court-ain-qana_und_vi</x:v>
      </x:c>
      <x:c r="R2" s="30" t="str">
        <x:v>https://www.google.com/maps/search/?api=1&amp;query=Ain+Qana+Mini-Football+Court%2C+Ain+Qana%2C+Lebanon</x:v>
      </x:c>
      <x:c r="S2" s="30" t="str"/>
      <x:c r="T2" s="30" t="str">
        <x:v>2026-09-07</x:v>
      </x:c>
    </x:row>
    <x:row r="3">
      <x:c r="A3" s="30" t="n">
        <x:v>2</x:v>
      </x:c>
      <x:c r="B3" s="30" t="str">
        <x:v>Ain Qana</x:v>
      </x:c>
      <x:c r="C3" s="30" t="str">
        <x:v>Al-Saoudniyya archaeological area</x:v>
      </x:c>
      <x:c r="D3" s="30" t="str">
        <x:v>Heritage / Archaeology</x:v>
      </x:c>
      <x:c r="E3" s="30" t="str">
        <x:v>Heritage / Culture</x:v>
      </x:c>
      <x:c r="F3" s="30" t="str">
        <x:v>Timeless / verify access</x:v>
      </x:c>
      <x:c r="G3" s="30" t="str">
        <x:v>Explore an area historically described with old caves and tombs.</x:v>
      </x:c>
      <x:c r="H3" s="30" t="str">
        <x:v>Ain Qana</x:v>
      </x:c>
      <x:c r="I3" s="30" t="str"/>
      <x:c r="J3" s="32"/>
      <x:c r="K3" s="34"/>
      <x:c r="L3" s="30" t="str"/>
      <x:c r="M3" s="30" t="str">
        <x:v>Access unknown</x:v>
      </x:c>
      <x:c r="N3" s="30" t="str">
        <x:v>Medium</x:v>
      </x:c>
      <x:c r="O3" s="30" t="str">
        <x:v>Exact village</x:v>
      </x:c>
      <x:c r="P3" s="30" t="str">
        <x:v>Destination Lebanon Nabatieh guide</x:v>
      </x:c>
      <x:c r="Q3" s="30" t="str">
        <x:v>https://www.destinationlebanon.com/download-sub/destleb/nabatieh.pdf</x:v>
      </x:c>
      <x:c r="R3" s="30" t="str">
        <x:v>https://www.google.com/maps/search/?api=1&amp;query=Al-Saoudniyya+archaeological+area%2C+Ain+Qana%2C+Lebanon</x:v>
      </x:c>
      <x:c r="S3" s="30" t="str"/>
      <x:c r="T3" s="30" t="str">
        <x:v>2026-09-07</x:v>
      </x:c>
    </x:row>
    <x:row r="4">
      <x:c r="A4" s="30" t="n">
        <x:v>3</x:v>
      </x:c>
      <x:c r="B4" s="30" t="str">
        <x:v>Ain Qana</x:v>
      </x:c>
      <x:c r="C4" s="30" t="str">
        <x:v>Al-Hosn ruins and old fortress</x:v>
      </x:c>
      <x:c r="D4" s="30" t="str">
        <x:v>Heritage / Archaeology</x:v>
      </x:c>
      <x:c r="E4" s="30" t="str">
        <x:v>Heritage / Culture</x:v>
      </x:c>
      <x:c r="F4" s="30" t="str">
        <x:v>Timeless / verify access</x:v>
      </x:c>
      <x:c r="G4" s="30" t="str">
        <x:v>See ruins associated with an old fortress.</x:v>
      </x:c>
      <x:c r="H4" s="30" t="str">
        <x:v>Ain Qana</x:v>
      </x:c>
      <x:c r="I4" s="30" t="str"/>
      <x:c r="J4" s="32"/>
      <x:c r="K4" s="34"/>
      <x:c r="L4" s="30" t="str"/>
      <x:c r="M4" s="30" t="str">
        <x:v>Access unknown</x:v>
      </x:c>
      <x:c r="N4" s="30" t="str">
        <x:v>Medium</x:v>
      </x:c>
      <x:c r="O4" s="30" t="str">
        <x:v>Exact village</x:v>
      </x:c>
      <x:c r="P4" s="30" t="str">
        <x:v>Destination Lebanon Nabatieh guide</x:v>
      </x:c>
      <x:c r="Q4" s="30" t="str">
        <x:v>https://www.destinationlebanon.com/download-sub/destleb/nabatieh.pdf</x:v>
      </x:c>
      <x:c r="R4" s="30" t="str">
        <x:v>https://www.google.com/maps/search/?api=1&amp;query=Al-Hosn+ruins+and+old+fortress%2C+Ain+Qana%2C+Lebanon</x:v>
      </x:c>
      <x:c r="S4" s="30" t="str"/>
      <x:c r="T4" s="30" t="str">
        <x:v>2026-09-07</x:v>
      </x:c>
    </x:row>
    <x:row r="5">
      <x:c r="A5" s="30" t="n">
        <x:v>4</x:v>
      </x:c>
      <x:c r="B5" s="30" t="str">
        <x:v>Ain Qana</x:v>
      </x:c>
      <x:c r="C5" s="30" t="str">
        <x:v>Chdid Spring</x:v>
      </x:c>
      <x:c r="D5" s="30" t="str">
        <x:v>Nature / Spring</x:v>
      </x:c>
      <x:c r="E5" s="30" t="str">
        <x:v>Nature / Hiking</x:v>
      </x:c>
      <x:c r="F5" s="30" t="str">
        <x:v>Timeless / verify access</x:v>
      </x:c>
      <x:c r="G5" s="30" t="str">
        <x:v>Nature walk / visit a local spring.</x:v>
      </x:c>
      <x:c r="H5" s="30" t="str">
        <x:v>Ain Qana</x:v>
      </x:c>
      <x:c r="I5" s="30" t="str"/>
      <x:c r="J5" s="32"/>
      <x:c r="K5" s="34"/>
      <x:c r="L5" s="30" t="str"/>
      <x:c r="M5" s="30" t="str">
        <x:v>Access unknown</x:v>
      </x:c>
      <x:c r="N5" s="30" t="str">
        <x:v>Medium</x:v>
      </x:c>
      <x:c r="O5" s="30" t="str">
        <x:v>Exact village</x:v>
      </x:c>
      <x:c r="P5" s="30" t="str">
        <x:v>Destination Lebanon Nabatieh guide</x:v>
      </x:c>
      <x:c r="Q5" s="30" t="str">
        <x:v>https://www.destinationlebanon.com/download-sub/destleb/nabatieh.pdf</x:v>
      </x:c>
      <x:c r="R5" s="30" t="str">
        <x:v>https://www.google.com/maps/search/?api=1&amp;query=Chdid+Spring%2C+Ain+Qana%2C+Lebanon</x:v>
      </x:c>
      <x:c r="S5" s="30" t="str"/>
      <x:c r="T5" s="30" t="str">
        <x:v>2026-09-07</x:v>
      </x:c>
    </x:row>
    <x:row r="6">
      <x:c r="A6" s="30" t="n">
        <x:v>5</x:v>
      </x:c>
      <x:c r="B6" s="30" t="str">
        <x:v>Ain Qana</x:v>
      </x:c>
      <x:c r="C6" s="30" t="str">
        <x:v>Ain Al-Hawr</x:v>
      </x:c>
      <x:c r="D6" s="30" t="str">
        <x:v>Nature / Spring</x:v>
      </x:c>
      <x:c r="E6" s="30" t="str">
        <x:v>Nature / Hiking</x:v>
      </x:c>
      <x:c r="F6" s="30" t="str">
        <x:v>Timeless / verify access</x:v>
      </x:c>
      <x:c r="G6" s="30" t="str">
        <x:v>Nature walk / visit a local spring.</x:v>
      </x:c>
      <x:c r="H6" s="30" t="str">
        <x:v>Ain Qana</x:v>
      </x:c>
      <x:c r="I6" s="30" t="str"/>
      <x:c r="J6" s="32"/>
      <x:c r="K6" s="34"/>
      <x:c r="L6" s="30" t="str"/>
      <x:c r="M6" s="30" t="str">
        <x:v>Access unknown</x:v>
      </x:c>
      <x:c r="N6" s="30" t="str">
        <x:v>Medium</x:v>
      </x:c>
      <x:c r="O6" s="30" t="str">
        <x:v>Exact village</x:v>
      </x:c>
      <x:c r="P6" s="30" t="str">
        <x:v>Destination Lebanon Nabatieh guide</x:v>
      </x:c>
      <x:c r="Q6" s="30" t="str">
        <x:v>https://www.destinationlebanon.com/download-sub/destleb/nabatieh.pdf</x:v>
      </x:c>
      <x:c r="R6" s="30" t="str">
        <x:v>https://www.google.com/maps/search/?api=1&amp;query=Ain+Al-Hawr%2C+Ain+Qana%2C+Lebanon</x:v>
      </x:c>
      <x:c r="S6" s="30" t="str"/>
      <x:c r="T6" s="30" t="str">
        <x:v>2026-09-07</x:v>
      </x:c>
    </x:row>
    <x:row r="7">
      <x:c r="A7" s="30" t="n">
        <x:v>6</x:v>
      </x:c>
      <x:c r="B7" s="30" t="str">
        <x:v>Ain Qana</x:v>
      </x:c>
      <x:c r="C7" s="30" t="str">
        <x:v>Al-Rabout Spring</x:v>
      </x:c>
      <x:c r="D7" s="30" t="str">
        <x:v>Nature / Spring</x:v>
      </x:c>
      <x:c r="E7" s="30" t="str">
        <x:v>Nature / Hiking</x:v>
      </x:c>
      <x:c r="F7" s="30" t="str">
        <x:v>Timeless / verify access</x:v>
      </x:c>
      <x:c r="G7" s="30" t="str">
        <x:v>Nature walk / visit a local spring.</x:v>
      </x:c>
      <x:c r="H7" s="30" t="str">
        <x:v>Ain Qana</x:v>
      </x:c>
      <x:c r="I7" s="30" t="str"/>
      <x:c r="J7" s="32"/>
      <x:c r="K7" s="34"/>
      <x:c r="L7" s="30" t="str"/>
      <x:c r="M7" s="30" t="str">
        <x:v>Access unknown</x:v>
      </x:c>
      <x:c r="N7" s="30" t="str">
        <x:v>Medium</x:v>
      </x:c>
      <x:c r="O7" s="30" t="str">
        <x:v>Exact village</x:v>
      </x:c>
      <x:c r="P7" s="30" t="str">
        <x:v>Destination Lebanon Nabatieh guide</x:v>
      </x:c>
      <x:c r="Q7" s="30" t="str">
        <x:v>https://www.destinationlebanon.com/download-sub/destleb/nabatieh.pdf</x:v>
      </x:c>
      <x:c r="R7" s="30" t="str">
        <x:v>https://www.google.com/maps/search/?api=1&amp;query=Al-Rabout+Spring%2C+Ain+Qana%2C+Lebanon</x:v>
      </x:c>
      <x:c r="S7" s="30" t="str"/>
      <x:c r="T7" s="30" t="str">
        <x:v>2026-09-07</x:v>
      </x:c>
    </x:row>
    <x:row r="8">
      <x:c r="A8" s="30" t="n">
        <x:v>7</x:v>
      </x:c>
      <x:c r="B8" s="30" t="str">
        <x:v>Ain Qana</x:v>
      </x:c>
      <x:c r="C8" s="30" t="str">
        <x:v>Ain Berbariyya</x:v>
      </x:c>
      <x:c r="D8" s="30" t="str">
        <x:v>Nature / Spring</x:v>
      </x:c>
      <x:c r="E8" s="30" t="str">
        <x:v>Nature / Hiking</x:v>
      </x:c>
      <x:c r="F8" s="30" t="str">
        <x:v>Timeless / verify access</x:v>
      </x:c>
      <x:c r="G8" s="30" t="str">
        <x:v>Nature walk / visit a local spring.</x:v>
      </x:c>
      <x:c r="H8" s="30" t="str">
        <x:v>Ain Qana</x:v>
      </x:c>
      <x:c r="I8" s="30" t="str"/>
      <x:c r="J8" s="32"/>
      <x:c r="K8" s="34"/>
      <x:c r="L8" s="30" t="str"/>
      <x:c r="M8" s="30" t="str">
        <x:v>Access unknown</x:v>
      </x:c>
      <x:c r="N8" s="30" t="str">
        <x:v>Medium</x:v>
      </x:c>
      <x:c r="O8" s="30" t="str">
        <x:v>Exact village</x:v>
      </x:c>
      <x:c r="P8" s="30" t="str">
        <x:v>Destination Lebanon Nabatieh guide</x:v>
      </x:c>
      <x:c r="Q8" s="30" t="str">
        <x:v>https://www.destinationlebanon.com/download-sub/destleb/nabatieh.pdf</x:v>
      </x:c>
      <x:c r="R8" s="30" t="str">
        <x:v>https://www.google.com/maps/search/?api=1&amp;query=Ain+Berbariyya%2C+Ain+Qana%2C+Lebanon</x:v>
      </x:c>
      <x:c r="S8" s="30" t="str"/>
      <x:c r="T8" s="30" t="str">
        <x:v>2026-09-07</x:v>
      </x:c>
    </x:row>
    <x:row r="9">
      <x:c r="A9" s="30" t="n">
        <x:v>8</x:v>
      </x:c>
      <x:c r="B9" s="30" t="str">
        <x:v>Ain Qana</x:v>
      </x:c>
      <x:c r="C9" s="30" t="str">
        <x:v>Pine &amp; Oak Woods</x:v>
      </x:c>
      <x:c r="D9" s="30" t="str">
        <x:v>Nature / Walking</x:v>
      </x:c>
      <x:c r="E9" s="30" t="str">
        <x:v>Nature / Hiking</x:v>
      </x:c>
      <x:c r="F9" s="30" t="str">
        <x:v>Timeless / verify access</x:v>
      </x:c>
      <x:c r="G9" s="30" t="str">
        <x:v>Woodland walking and nature exploration.</x:v>
      </x:c>
      <x:c r="H9" s="30" t="str">
        <x:v>Ain Qana</x:v>
      </x:c>
      <x:c r="I9" s="30" t="str"/>
      <x:c r="J9" s="32"/>
      <x:c r="K9" s="34"/>
      <x:c r="L9" s="30" t="str"/>
      <x:c r="M9" s="30" t="str">
        <x:v>Access unknown</x:v>
      </x:c>
      <x:c r="N9" s="30" t="str">
        <x:v>Medium</x:v>
      </x:c>
      <x:c r="O9" s="30" t="str">
        <x:v>Exact village</x:v>
      </x:c>
      <x:c r="P9" s="30" t="str">
        <x:v>Destination Lebanon Nabatieh guide + Ain Qana local site</x:v>
      </x:c>
      <x:c r="Q9" s="30" t="str">
        <x:v>https://ainqana-lb.onlc.fr/1-.html</x:v>
      </x:c>
      <x:c r="R9" s="30" t="str">
        <x:v>https://www.google.com/maps/search/?api=1&amp;query=Pine+%26+Oak+Woods%2C+Ain+Qana%2C+Lebanon</x:v>
      </x:c>
      <x:c r="S9" s="30" t="str"/>
      <x:c r="T9" s="30" t="str">
        <x:v>2026-09-07</x:v>
      </x:c>
    </x:row>
    <x:row r="10">
      <x:c r="A10" s="30" t="n">
        <x:v>9</x:v>
      </x:c>
      <x:c r="B10" s="30" t="str">
        <x:v>Ansar</x:v>
      </x:c>
      <x:c r="C10" s="30" t="str">
        <x:v>Al-Amir Resort</x:v>
      </x:c>
      <x:c r="D10" s="30" t="str">
        <x:v>Resort / Family / Pool</x:v>
      </x:c>
      <x:c r="E10" s="30" t="str">
        <x:v>Parks / Family</x:v>
      </x:c>
      <x:c r="F10" s="30" t="str">
        <x:v>Active - verified</x:v>
      </x:c>
      <x:c r="G10" s="30" t="str">
        <x:v>Swimming pool, children's playground, restaurants, terrace, events and family leisure.</x:v>
      </x:c>
      <x:c r="H10" s="30" t="str">
        <x:v>Ansar Main Road</x:v>
      </x:c>
      <x:c r="I10" s="30" t="str">
        <x:v>+961 7 501 900</x:v>
      </x:c>
      <x:c r="J10" s="32" t="n">
        <x:v>3</x:v>
      </x:c>
      <x:c r="K10" s="34" t="n">
        <x:v>1</x:v>
      </x:c>
      <x:c r="L10" s="30" t="str"/>
      <x:c r="M10" s="30" t="str">
        <x:v>Commercial / check access</x:v>
      </x:c>
      <x:c r="N10" s="30" t="str">
        <x:v>High</x:v>
      </x:c>
      <x:c r="O10" s="30" t="str">
        <x:v>Exact village</x:v>
      </x:c>
      <x:c r="P10" s="30" t="str">
        <x:v>Official Al-Amir Resort site + current local-business listing</x:v>
      </x:c>
      <x:c r="Q10" s="30" t="str">
        <x:v>https://www.alamir-resort.com/</x:v>
      </x:c>
      <x:c r="R10" s="30" t="str">
        <x:v>https://www.google.com/maps/search/?api=1&amp;query=Al-Amir+Resort%2C+Ansar%2C+Lebanon</x:v>
      </x:c>
      <x:c r="S10" s="30" t="str"/>
      <x:c r="T10" s="30" t="str">
        <x:v>2026-09-07</x:v>
      </x:c>
    </x:row>
    <x:row r="11">
      <x:c r="A11" s="30" t="n">
        <x:v>10</x:v>
      </x:c>
      <x:c r="B11" s="30" t="str">
        <x:v>Ansar</x:v>
      </x:c>
      <x:c r="C11" s="30" t="str">
        <x:v>Al-Amir Children's Playground</x:v>
      </x:c>
      <x:c r="D11" s="30" t="str">
        <x:v>Family / Playground</x:v>
      </x:c>
      <x:c r="E11" s="30" t="str">
        <x:v>Parks / Family</x:v>
      </x:c>
      <x:c r="F11" s="30" t="str">
        <x:v>Active - verified</x:v>
      </x:c>
      <x:c r="G11" s="30" t="str">
        <x:v>Outdoor children's play area with inflatables and games; intended for children up to about age 12.</x:v>
      </x:c>
      <x:c r="H11" s="30" t="str">
        <x:v>Al-Amir Resort, Ansar Main Road</x:v>
      </x:c>
      <x:c r="I11" s="30" t="str">
        <x:v>+961 7 501 900</x:v>
      </x:c>
      <x:c r="J11" s="32"/>
      <x:c r="K11" s="34"/>
      <x:c r="L11" s="30" t="str"/>
      <x:c r="M11" s="30" t="str">
        <x:v>Commercial / event access</x:v>
      </x:c>
      <x:c r="N11" s="30" t="str">
        <x:v>High</x:v>
      </x:c>
      <x:c r="O11" s="30" t="str">
        <x:v>Exact village</x:v>
      </x:c>
      <x:c r="P11" s="30" t="str">
        <x:v>Official Al-Amir Resort playground page</x:v>
      </x:c>
      <x:c r="Q11" s="30" t="str">
        <x:v>https://www.alamir-resort.com/pages.php?CID=UGxheSBHcm91bmQ%3D&amp;id=NQ%3D%3D&amp;lan=En</x:v>
      </x:c>
      <x:c r="R11" s="30" t="str">
        <x:v>https://www.google.com/maps/search/?api=1&amp;query=Al-Amir+Children%27s+Playground%2C+Ansar%2C+Lebanon</x:v>
      </x:c>
      <x:c r="S11" s="30" t="str"/>
      <x:c r="T11" s="30" t="str">
        <x:v>2026-09-07</x:v>
      </x:c>
    </x:row>
    <x:row r="12">
      <x:c r="A12" s="30" t="n">
        <x:v>11</x:v>
      </x:c>
      <x:c r="B12" s="30" t="str">
        <x:v>Arabsalim</x:v>
      </x:c>
      <x:c r="C12" s="30" t="str">
        <x:v>Aqua Park Lebanon</x:v>
      </x:c>
      <x:c r="D12" s="30" t="str">
        <x:v>Water Park / Family</x:v>
      </x:c>
      <x:c r="E12" s="30" t="str">
        <x:v>Parks / Family</x:v>
      </x:c>
      <x:c r="F12" s="30" t="str">
        <x:v>Active - verified</x:v>
      </x:c>
      <x:c r="G12" s="30" t="str">
        <x:v>Swimming pools, water/family recreation, children's play area and on-site food facilities.</x:v>
      </x:c>
      <x:c r="H12" s="30" t="str">
        <x:v>Arab Salim</x:v>
      </x:c>
      <x:c r="I12" s="30" t="str">
        <x:v>+961 3 008 558</x:v>
      </x:c>
      <x:c r="J12" s="32" t="n">
        <x:v>4</x:v>
      </x:c>
      <x:c r="K12" s="34" t="n">
        <x:v>425</x:v>
      </x:c>
      <x:c r="L12" s="30" t="str">
        <x:v>10:00–23:00 daily</x:v>
      </x:c>
      <x:c r="M12" s="30" t="str">
        <x:v>Commercial</x:v>
      </x:c>
      <x:c r="N12" s="30" t="str">
        <x:v>High</x:v>
      </x:c>
      <x:c r="O12" s="30" t="str">
        <x:v>Exact village</x:v>
      </x:c>
      <x:c r="P12" s="30" t="str">
        <x:v>Current local-business listing + BizMidEast</x:v>
      </x:c>
      <x:c r="Q12" s="30" t="str">
        <x:v>https://www.bizmideast.com/LB/aqua-park-lebanon_1O-03-008-558</x:v>
      </x:c>
      <x:c r="R12" s="30" t="str">
        <x:v>https://www.google.com/maps/search/?api=1&amp;query=Aqua+Park+Lebanon%2C+Arabsalim%2C+Lebanon</x:v>
      </x:c>
      <x:c r="S12" s="30" t="str"/>
      <x:c r="T12" s="30" t="str">
        <x:v>2026-09-07</x:v>
      </x:c>
    </x:row>
    <x:row r="13">
      <x:c r="A13" s="30" t="n">
        <x:v>12</x:v>
      </x:c>
      <x:c r="B13" s="30" t="str">
        <x:v>Arabsalim</x:v>
      </x:c>
      <x:c r="C13" s="30" t="str">
        <x:v>مطحنة الفقهاء (الحطّاب)</x:v>
      </x:c>
      <x:c r="D13" s="30" t="str">
        <x:v>Heritage / Historical Landmark</x:v>
      </x:c>
      <x:c r="E13" s="30" t="str">
        <x:v>Heritage / Culture</x:v>
      </x:c>
      <x:c r="F13" s="30" t="str">
        <x:v>Active listing</x:v>
      </x:c>
      <x:c r="G13" s="30" t="str">
        <x:v>Visit a locally listed historic mill landmark.</x:v>
      </x:c>
      <x:c r="H13" s="30" t="str">
        <x:v>CG68+RMW, Arab Salim</x:v>
      </x:c>
      <x:c r="I13" s="30" t="str">
        <x:v>+961 3 766 866</x:v>
      </x:c>
      <x:c r="J13" s="32" t="n">
        <x:v>5</x:v>
      </x:c>
      <x:c r="K13" s="34" t="n">
        <x:v>4</x:v>
      </x:c>
      <x:c r="L13" s="30" t="str"/>
      <x:c r="M13" s="30" t="str">
        <x:v>Likely public-viewable</x:v>
      </x:c>
      <x:c r="N13" s="30" t="str">
        <x:v>High</x:v>
      </x:c>
      <x:c r="O13" s="30" t="str">
        <x:v>Exact village</x:v>
      </x:c>
      <x:c r="P13" s="30" t="str">
        <x:v>Current local-business listing</x:v>
      </x:c>
      <x:c r="Q13" s="30" t="str">
        <x:v>https://www.google.com/maps/search/?api=1&amp;query=%D9%85%D8%B7%D8%AD%D9%86%D8%A9+%D8%A7%D9%84%D9%81%D9%82%D9%87%D8%A7%D8%A1+%D8%A7%D9%84%D8%AD%D8%B7%D8%A7%D8%A8%2C+Arab+Salim%2C+Lebanon</x:v>
      </x:c>
      <x:c r="R13" s="30" t="str">
        <x:v>https://www.google.com/maps/search/?api=1&amp;query=%D9%85%D8%B7%D8%AD%D9%86%D8%A9+%D8%A7%D9%84%D9%81%D9%82%D9%87%D8%A7%D8%A1+%28%D8%A7%D9%84%D8%AD%D8%B7%D9%91%D8%A7%D8%A8%29%2C+Arabsalim%2C+Lebanon</x:v>
      </x:c>
      <x:c r="S13" s="30" t="str"/>
      <x:c r="T13" s="30" t="str">
        <x:v>2026-09-07</x:v>
      </x:c>
    </x:row>
    <x:row r="14">
      <x:c r="A14" s="30" t="n">
        <x:v>13</x:v>
      </x:c>
      <x:c r="B14" s="30" t="str">
        <x:v>Arabsalim</x:v>
      </x:c>
      <x:c r="C14" s="30" t="str">
        <x:v>Nabi Salim Shrine / historic religious site</x:v>
      </x:c>
      <x:c r="D14" s="30" t="str">
        <x:v>Heritage / Religious</x:v>
      </x:c>
      <x:c r="E14" s="30" t="str">
        <x:v>Heritage / Culture</x:v>
      </x:c>
      <x:c r="F14" s="30" t="str">
        <x:v>Timeless / verify access</x:v>
      </x:c>
      <x:c r="G14" s="30" t="str">
        <x:v>Visit the historic shrine/site associated with the village's name.</x:v>
      </x:c>
      <x:c r="H14" s="30" t="str">
        <x:v>Arab Salim</x:v>
      </x:c>
      <x:c r="I14" s="30" t="str"/>
      <x:c r="J14" s="32"/>
      <x:c r="K14" s="34"/>
      <x:c r="L14" s="30" t="str"/>
      <x:c r="M14" s="30" t="str">
        <x:v>Access unknown</x:v>
      </x:c>
      <x:c r="N14" s="30" t="str">
        <x:v>Medium</x:v>
      </x:c>
      <x:c r="O14" s="30" t="str">
        <x:v>Exact village</x:v>
      </x:c>
      <x:c r="P14" s="30" t="str">
        <x:v>Destination Lebanon Nabatieh guide</x:v>
      </x:c>
      <x:c r="Q14" s="30" t="str">
        <x:v>https://www.destinationlebanon.com/download-sub/destleb/nabatieh.pdf</x:v>
      </x:c>
      <x:c r="R14" s="30" t="str">
        <x:v>https://www.google.com/maps/search/?api=1&amp;query=Nabi+Salim+Shrine+%2F+historic+religious+site%2C+Arabsalim%2C+Lebanon</x:v>
      </x:c>
      <x:c r="S14" s="30" t="str"/>
      <x:c r="T14" s="30" t="str">
        <x:v>2026-09-07</x:v>
      </x:c>
    </x:row>
    <x:row r="15">
      <x:c r="A15" s="30" t="n">
        <x:v>14</x:v>
      </x:c>
      <x:c r="B15" s="30" t="str">
        <x:v>Arabsalim</x:v>
      </x:c>
      <x:c r="C15" s="30" t="str">
        <x:v>Ain Al-Daya'a Spring</x:v>
      </x:c>
      <x:c r="D15" s="30" t="str">
        <x:v>Nature / Spring</x:v>
      </x:c>
      <x:c r="E15" s="30" t="str">
        <x:v>Nature / Hiking</x:v>
      </x:c>
      <x:c r="F15" s="30" t="str">
        <x:v>Timeless / verify access</x:v>
      </x:c>
      <x:c r="G15" s="30" t="str">
        <x:v>Visit a traditional village spring / nature spot.</x:v>
      </x:c>
      <x:c r="H15" s="30" t="str">
        <x:v>Arab Salim</x:v>
      </x:c>
      <x:c r="I15" s="30" t="str"/>
      <x:c r="J15" s="32"/>
      <x:c r="K15" s="34"/>
      <x:c r="L15" s="30" t="str"/>
      <x:c r="M15" s="30" t="str">
        <x:v>Access unknown</x:v>
      </x:c>
      <x:c r="N15" s="30" t="str">
        <x:v>Medium</x:v>
      </x:c>
      <x:c r="O15" s="30" t="str">
        <x:v>Exact village</x:v>
      </x:c>
      <x:c r="P15" s="30" t="str">
        <x:v>Destination Lebanon Nabatieh guide</x:v>
      </x:c>
      <x:c r="Q15" s="30" t="str">
        <x:v>https://www.destinationlebanon.com/download-sub/destleb/nabatieh.pdf</x:v>
      </x:c>
      <x:c r="R15" s="30" t="str">
        <x:v>https://www.google.com/maps/search/?api=1&amp;query=Ain+Al-Daya%27a+Spring%2C+Arabsalim%2C+Lebanon</x:v>
      </x:c>
      <x:c r="S15" s="30" t="str"/>
      <x:c r="T15" s="30" t="str">
        <x:v>2026-09-07</x:v>
      </x:c>
    </x:row>
    <x:row r="16">
      <x:c r="A16" s="30" t="n">
        <x:v>15</x:v>
      </x:c>
      <x:c r="B16" s="30" t="str">
        <x:v>Arnoun</x:v>
      </x:c>
      <x:c r="C16" s="30" t="str">
        <x:v>Beaufort Castle / Al-Shaqif Citadel</x:v>
      </x:c>
      <x:c r="D16" s="30" t="str">
        <x:v>Heritage / Castle / Viewpoint</x:v>
      </x:c>
      <x:c r="E16" s="30" t="str">
        <x:v>Heritage / Culture</x:v>
      </x:c>
      <x:c r="F16" s="30" t="str">
        <x:v>Heritage site - verify current access</x:v>
      </x:c>
      <x:c r="G16" s="30" t="str">
        <x:v>Explore the medieval fortress and panoramic landscape around the Litani valley.</x:v>
      </x:c>
      <x:c r="H16" s="30" t="str">
        <x:v>Arnoun / Beaufort Castle</x:v>
      </x:c>
      <x:c r="I16" s="30" t="str"/>
      <x:c r="J16" s="32"/>
      <x:c r="K16" s="34"/>
      <x:c r="L16" s="30" t="str"/>
      <x:c r="M16" s="30" t="str">
        <x:v>Visitor access may vary</x:v>
      </x:c>
      <x:c r="N16" s="30" t="str">
        <x:v>High</x:v>
      </x:c>
      <x:c r="O16" s="30" t="str">
        <x:v>Exact village</x:v>
      </x:c>
      <x:c r="P16" s="30" t="str">
        <x:v>Discover Lebanon + Destination Lebanon</x:v>
      </x:c>
      <x:c r="Q16" s="30" t="str">
        <x:v>https://www.discoverlebanon.com/en/panoramic_views/nabatieh/arnoun/beaufort-castle.php</x:v>
      </x:c>
      <x:c r="R16" s="30" t="str">
        <x:v>https://www.google.com/maps/search/?api=1&amp;query=Beaufort+Castle+%2F+Al-Shaqif+Citadel%2C+Arnoun%2C+Lebanon</x:v>
      </x:c>
      <x:c r="S16" s="30" t="str"/>
      <x:c r="T16" s="30" t="str">
        <x:v>2026-09-07</x:v>
      </x:c>
    </x:row>
    <x:row r="17">
      <x:c r="A17" s="30" t="n">
        <x:v>16</x:v>
      </x:c>
      <x:c r="B17" s="30" t="str">
        <x:v>Arnoun</x:v>
      </x:c>
      <x:c r="C17" s="30" t="str">
        <x:v>Arnoun–Beaufort hiking route</x:v>
      </x:c>
      <x:c r="D17" s="30" t="str">
        <x:v>Hiking / Nature</x:v>
      </x:c>
      <x:c r="E17" s="30" t="str">
        <x:v>Nature / Hiking</x:v>
      </x:c>
      <x:c r="F17" s="30" t="str">
        <x:v>Trail evidence</x:v>
      </x:c>
      <x:c r="G17" s="30" t="str">
        <x:v>Hike from/around Arnoun toward Beaufort Castle and surrounding terrain.</x:v>
      </x:c>
      <x:c r="H17" s="30" t="str">
        <x:v>Arnoun / Beaufort area</x:v>
      </x:c>
      <x:c r="I17" s="30" t="str"/>
      <x:c r="J17" s="32"/>
      <x:c r="K17" s="34"/>
      <x:c r="L17" s="30" t="str"/>
      <x:c r="M17" s="30" t="str">
        <x:v>Outdoor / route-dependent</x:v>
      </x:c>
      <x:c r="N17" s="30" t="str">
        <x:v>Medium</x:v>
      </x:c>
      <x:c r="O17" s="30" t="str">
        <x:v>Exact village / route</x:v>
      </x:c>
      <x:c r="P17" s="30" t="str">
        <x:v>Lebanon Traveler hiking-event documentation</x:v>
      </x:c>
      <x:c r="Q17" s="30" t="str">
        <x:v>https://www.lebanontraveler.com/en/magazine/calendar_events/arnoun-beaufort-castle-hike-with-vamos-todos-3/</x:v>
      </x:c>
      <x:c r="R17" s="30" t="str">
        <x:v>https://www.google.com/maps/search/?api=1&amp;query=Arnoun%E2%80%93Beaufort+hiking+route%2C+Arnoun%2C+Lebanon</x:v>
      </x:c>
      <x:c r="S17" s="30" t="str"/>
      <x:c r="T17" s="30" t="str">
        <x:v>2026-09-07</x:v>
      </x:c>
    </x:row>
    <x:row r="18">
      <x:c r="A18" s="30" t="n">
        <x:v>17</x:v>
      </x:c>
      <x:c r="B18" s="30" t="str">
        <x:v>Arnoun</x:v>
      </x:c>
      <x:c r="C18" s="30" t="str">
        <x:v>kalaa Resort</x:v>
      </x:c>
      <x:c r="D18" s="30" t="str">
        <x:v>Resort / Leisure</x:v>
      </x:c>
      <x:c r="E18" s="30" t="str">
        <x:v>Resorts / Pools</x:v>
      </x:c>
      <x:c r="F18" s="30" t="str">
        <x:v>Active - verified</x:v>
      </x:c>
      <x:c r="G18" s="30" t="str">
        <x:v>Resort stay / leisure beside the Beaufort Castle area.</x:v>
      </x:c>
      <x:c r="H18" s="30" t="str">
        <x:v>Beaufort Castle, Arnoun</x:v>
      </x:c>
      <x:c r="I18" s="30" t="str">
        <x:v>+961 70 022 704</x:v>
      </x:c>
      <x:c r="J18" s="32" t="n">
        <x:v>4.4</x:v>
      </x:c>
      <x:c r="K18" s="34" t="n">
        <x:v>369</x:v>
      </x:c>
      <x:c r="L18" s="30" t="str"/>
      <x:c r="M18" s="30" t="str">
        <x:v>Commercial</x:v>
      </x:c>
      <x:c r="N18" s="30" t="str">
        <x:v>High</x:v>
      </x:c>
      <x:c r="O18" s="30" t="str">
        <x:v>Exact village</x:v>
      </x:c>
      <x:c r="P18" s="30" t="str">
        <x:v>Current local-business listing</x:v>
      </x:c>
      <x:c r="Q18" s="30" t="str">
        <x:v>https://www.google.com/maps/search/?api=1&amp;query=kalaa+Resort%2C+Arnoun%2C+Lebanon</x:v>
      </x:c>
      <x:c r="R18" s="30" t="str">
        <x:v>https://www.google.com/maps/search/?api=1&amp;query=kalaa+Resort%2C+Arnoun%2C+Lebanon</x:v>
      </x:c>
      <x:c r="S18" s="30" t="str"/>
      <x:c r="T18" s="30" t="str">
        <x:v>2026-09-07</x:v>
      </x:c>
    </x:row>
    <x:row r="19">
      <x:c r="A19" s="30" t="n">
        <x:v>18</x:v>
      </x:c>
      <x:c r="B19" s="30" t="str">
        <x:v>Arnoun</x:v>
      </x:c>
      <x:c r="C19" s="30" t="str">
        <x:v>Old rocky caves &amp; rock-cut wells</x:v>
      </x:c>
      <x:c r="D19" s="30" t="str">
        <x:v>Heritage / Archaeology</x:v>
      </x:c>
      <x:c r="E19" s="30" t="str">
        <x:v>Heritage / Culture</x:v>
      </x:c>
      <x:c r="F19" s="30" t="str">
        <x:v>Timeless / verify access</x:v>
      </x:c>
      <x:c r="G19" s="30" t="str">
        <x:v>Explore heritage remains described around Arnoun, including old caves and rock-cut wells.</x:v>
      </x:c>
      <x:c r="H19" s="30" t="str">
        <x:v>Arnoun</x:v>
      </x:c>
      <x:c r="I19" s="30" t="str"/>
      <x:c r="J19" s="32"/>
      <x:c r="K19" s="34"/>
      <x:c r="L19" s="30" t="str"/>
      <x:c r="M19" s="30" t="str">
        <x:v>Access unknown</x:v>
      </x:c>
      <x:c r="N19" s="30" t="str">
        <x:v>Medium</x:v>
      </x:c>
      <x:c r="O19" s="30" t="str">
        <x:v>Exact village</x:v>
      </x:c>
      <x:c r="P19" s="30" t="str">
        <x:v>Destination Lebanon Nabatieh guide</x:v>
      </x:c>
      <x:c r="Q19" s="30" t="str">
        <x:v>https://www.destinationlebanon.com/download-sub/destleb/nabatieh.pdf</x:v>
      </x:c>
      <x:c r="R19" s="30" t="str">
        <x:v>https://www.google.com/maps/search/?api=1&amp;query=Old+rocky+caves+%26+rock-cut+wells%2C+Arnoun%2C+Lebanon</x:v>
      </x:c>
      <x:c r="S19" s="30" t="str"/>
      <x:c r="T19" s="30" t="str">
        <x:v>2026-09-07</x:v>
      </x:c>
    </x:row>
    <x:row r="20">
      <x:c r="A20" s="30" t="n">
        <x:v>19</x:v>
      </x:c>
      <x:c r="B20" s="30" t="str">
        <x:v>Bariqaa / Breikaa</x:v>
      </x:c>
      <x:c r="C20" s="30" t="str">
        <x:v>محمية جبال الحمام بريقع</x:v>
      </x:c>
      <x:c r="D20" s="30" t="str">
        <x:v>Nature Preserve / Hiking</x:v>
      </x:c>
      <x:c r="E20" s="30" t="str">
        <x:v>Nature / Hiking</x:v>
      </x:c>
      <x:c r="F20" s="30" t="str">
        <x:v>Active - verified</x:v>
      </x:c>
      <x:c r="G20" s="30" t="str">
        <x:v>Nature visit, walking and mountain scenery in the Hammam Mountains preserve.</x:v>
      </x:c>
      <x:c r="H20" s="30" t="str">
        <x:v>9938+7GC, Braiqah</x:v>
      </x:c>
      <x:c r="I20" s="30" t="str">
        <x:v>+961 71 024 096</x:v>
      </x:c>
      <x:c r="J20" s="32" t="n">
        <x:v>4</x:v>
      </x:c>
      <x:c r="K20" s="34" t="n">
        <x:v>24</x:v>
      </x:c>
      <x:c r="L20" s="30" t="str"/>
      <x:c r="M20" s="30" t="str">
        <x:v>Public / check local rules</x:v>
      </x:c>
      <x:c r="N20" s="30" t="str">
        <x:v>High</x:v>
      </x:c>
      <x:c r="O20" s="30" t="str">
        <x:v>Exact village</x:v>
      </x:c>
      <x:c r="P20" s="30" t="str">
        <x:v>Current local-business listing</x:v>
      </x:c>
      <x:c r="Q20" s="30" t="str">
        <x:v>https://www.google.com/maps/search/?api=1&amp;query=%D9%85%D8%AD%D9%85%D9%8A%D8%A9+%D8%AC%D8%A8%D8%A7%D9%84+%D8%A7%D9%84%D8%AD%D9%85%D8%A7%D9%85+%D8%A8%D8%B1%D9%8A%D9%82%D8%B9%2C+Braiqah%2C+Lebanon</x:v>
      </x:c>
      <x:c r="R20" s="30" t="str">
        <x:v>https://www.google.com/maps/search/?api=1&amp;query=%D9%85%D8%AD%D9%85%D9%8A%D8%A9+%D8%AC%D8%A8%D8%A7%D9%84+%D8%A7%D9%84%D8%AD%D9%85%D8%A7%D9%85+%D8%A8%D8%B1%D9%8A%D9%82%D8%B9%2C+Bariqaa+%2F+Breikaa%2C+Lebanon</x:v>
      </x:c>
      <x:c r="S20" s="30" t="str"/>
      <x:c r="T20" s="30" t="str">
        <x:v>2026-09-07</x:v>
      </x:c>
    </x:row>
    <x:row r="21">
      <x:c r="A21" s="30" t="n">
        <x:v>20</x:v>
      </x:c>
      <x:c r="B21" s="30" t="str">
        <x:v>Deir Al-Zahrani</x:v>
      </x:c>
      <x:c r="C21" s="30" t="str">
        <x:v>Ferdasia Resort / منتجع فرداسيا</x:v>
      </x:c>
      <x:c r="D21" s="30" t="str">
        <x:v>Resort / Pool / Leisure</x:v>
      </x:c>
      <x:c r="E21" s="30" t="str">
        <x:v>Resorts / Pools</x:v>
      </x:c>
      <x:c r="F21" s="30" t="str">
        <x:v>Active - verified</x:v>
      </x:c>
      <x:c r="G21" s="30" t="str">
        <x:v>Swimming-pool and resort leisure; restaurant on site.</x:v>
      </x:c>
      <x:c r="H21" s="30" t="str">
        <x:v>Deir El Zahrani, Nabatieh</x:v>
      </x:c>
      <x:c r="I21" s="30" t="str">
        <x:v>+961 71 980 904</x:v>
      </x:c>
      <x:c r="J21" s="32" t="n">
        <x:v>3.9</x:v>
      </x:c>
      <x:c r="K21" s="34" t="n">
        <x:v>52</x:v>
      </x:c>
      <x:c r="L21" s="30" t="str"/>
      <x:c r="M21" s="30" t="str">
        <x:v>Commercial</x:v>
      </x:c>
      <x:c r="N21" s="30" t="str">
        <x:v>High</x:v>
      </x:c>
      <x:c r="O21" s="30" t="str">
        <x:v>Exact locality</x:v>
      </x:c>
      <x:c r="P21" s="30" t="str">
        <x:v>Current local-business listing</x:v>
      </x:c>
      <x:c r="Q21" s="30" t="str">
        <x:v>https://www.google.com/maps/search/?api=1&amp;query=%D9%85%D9%86%D8%AA%D8%AC%D8%B9+%D9%81%D8%B1%D8%AF%D8%A7%D8%B3%D9%8A%D8%A7%2C+Deir+El+Zahrani%2C+Lebanon</x:v>
      </x:c>
      <x:c r="R21" s="30" t="str">
        <x:v>https://www.google.com/maps/search/?api=1&amp;query=Ferdasia+Resort+%2F+%D9%85%D9%86%D8%AA%D8%AC%D8%B9+%D9%81%D8%B1%D8%AF%D8%A7%D8%B3%D9%8A%D8%A7%2C+Deir+Al-Zahrani%2C+Lebanon</x:v>
      </x:c>
      <x:c r="S21" s="30" t="str"/>
      <x:c r="T21" s="30" t="str">
        <x:v>2026-09-07</x:v>
      </x:c>
    </x:row>
    <x:row r="22">
      <x:c r="A22" s="30" t="n">
        <x:v>21</x:v>
      </x:c>
      <x:c r="B22" s="30" t="str">
        <x:v>Deir Al-Zahrani</x:v>
      </x:c>
      <x:c r="C22" s="30" t="str">
        <x:v>Deir Al-Zahrani cave landscape</x:v>
      </x:c>
      <x:c r="D22" s="30" t="str">
        <x:v>Heritage / Archaeology</x:v>
      </x:c>
      <x:c r="E22" s="30" t="str">
        <x:v>Heritage / Culture</x:v>
      </x:c>
      <x:c r="F22" s="30" t="str">
        <x:v>Timeless / verify access</x:v>
      </x:c>
      <x:c r="G22" s="30" t="str">
        <x:v>Explore historically documented old caves around Loubia, Al-Hawwat, Al-Madrasseh and Al-Shehar areas.</x:v>
      </x:c>
      <x:c r="H22" s="30" t="str">
        <x:v>Deir Al-Zahrani</x:v>
      </x:c>
      <x:c r="I22" s="30" t="str"/>
      <x:c r="J22" s="32"/>
      <x:c r="K22" s="34"/>
      <x:c r="L22" s="30" t="str"/>
      <x:c r="M22" s="30" t="str">
        <x:v>Access unknown</x:v>
      </x:c>
      <x:c r="N22" s="30" t="str">
        <x:v>Medium</x:v>
      </x:c>
      <x:c r="O22" s="30" t="str">
        <x:v>Exact village</x:v>
      </x:c>
      <x:c r="P22" s="30" t="str">
        <x:v>Destination Lebanon Nabatieh guide</x:v>
      </x:c>
      <x:c r="Q22" s="30" t="str">
        <x:v>https://www.destinationlebanon.com/download-sub/destleb/nabatieh.pdf</x:v>
      </x:c>
      <x:c r="R22" s="30" t="str">
        <x:v>https://www.google.com/maps/search/?api=1&amp;query=Deir+Al-Zahrani+cave+landscape%2C+Deir+Al-Zahrani%2C+Lebanon</x:v>
      </x:c>
      <x:c r="S22" s="30" t="str"/>
      <x:c r="T22" s="30" t="str">
        <x:v>2026-09-07</x:v>
      </x:c>
    </x:row>
    <x:row r="23">
      <x:c r="A23" s="30" t="n">
        <x:v>22</x:v>
      </x:c>
      <x:c r="B23" s="30" t="str">
        <x:v>Deir Al-Zahrani</x:v>
      </x:c>
      <x:c r="C23" s="30" t="str">
        <x:v>Al-Remmaneh archaeological area</x:v>
      </x:c>
      <x:c r="D23" s="30" t="str">
        <x:v>Heritage / Archaeology</x:v>
      </x:c>
      <x:c r="E23" s="30" t="str">
        <x:v>Heritage / Culture</x:v>
      </x:c>
      <x:c r="F23" s="30" t="str">
        <x:v>Timeless / verify access</x:v>
      </x:c>
      <x:c r="G23" s="30" t="str">
        <x:v>Historic vestiges including sarcophagi, rock-cut presses and wells are documented here.</x:v>
      </x:c>
      <x:c r="H23" s="30" t="str">
        <x:v>Deir Al-Zahrani</x:v>
      </x:c>
      <x:c r="I23" s="30" t="str"/>
      <x:c r="J23" s="32"/>
      <x:c r="K23" s="34"/>
      <x:c r="L23" s="30" t="str"/>
      <x:c r="M23" s="30" t="str">
        <x:v>Access unknown</x:v>
      </x:c>
      <x:c r="N23" s="30" t="str">
        <x:v>Medium</x:v>
      </x:c>
      <x:c r="O23" s="30" t="str">
        <x:v>Exact village</x:v>
      </x:c>
      <x:c r="P23" s="30" t="str">
        <x:v>Destination Lebanon Nabatieh guide</x:v>
      </x:c>
      <x:c r="Q23" s="30" t="str">
        <x:v>https://www.destinationlebanon.com/download-sub/destleb/nabatieh.pdf</x:v>
      </x:c>
      <x:c r="R23" s="30" t="str">
        <x:v>https://www.google.com/maps/search/?api=1&amp;query=Al-Remmaneh+archaeological+area%2C+Deir+Al-Zahrani%2C+Lebanon</x:v>
      </x:c>
      <x:c r="S23" s="30" t="str"/>
      <x:c r="T23" s="30" t="str">
        <x:v>2026-09-07</x:v>
      </x:c>
    </x:row>
    <x:row r="24">
      <x:c r="A24" s="30" t="n">
        <x:v>23</x:v>
      </x:c>
      <x:c r="B24" s="30" t="str">
        <x:v>Deir Al-Zahrani</x:v>
      </x:c>
      <x:c r="C24" s="30" t="str">
        <x:v>Chalouta Tower ruins &amp; old press remains</x:v>
      </x:c>
      <x:c r="D24" s="30" t="str">
        <x:v>Heritage / Archaeology</x:v>
      </x:c>
      <x:c r="E24" s="30" t="str">
        <x:v>Heritage / Culture</x:v>
      </x:c>
      <x:c r="F24" s="30" t="str">
        <x:v>Timeless / verify access</x:v>
      </x:c>
      <x:c r="G24" s="30" t="str">
        <x:v>Heritage exploration of tower ruins and old press remains.</x:v>
      </x:c>
      <x:c r="H24" s="30" t="str">
        <x:v>Deir Al-Zahrani</x:v>
      </x:c>
      <x:c r="I24" s="30" t="str"/>
      <x:c r="J24" s="32"/>
      <x:c r="K24" s="34"/>
      <x:c r="L24" s="30" t="str"/>
      <x:c r="M24" s="30" t="str">
        <x:v>Access unknown</x:v>
      </x:c>
      <x:c r="N24" s="30" t="str">
        <x:v>Medium</x:v>
      </x:c>
      <x:c r="O24" s="30" t="str">
        <x:v>Exact village</x:v>
      </x:c>
      <x:c r="P24" s="30" t="str">
        <x:v>Destination Lebanon Nabatieh guide</x:v>
      </x:c>
      <x:c r="Q24" s="30" t="str">
        <x:v>https://www.destinationlebanon.com/download-sub/destleb/nabatieh.pdf</x:v>
      </x:c>
      <x:c r="R24" s="30" t="str">
        <x:v>https://www.google.com/maps/search/?api=1&amp;query=Chalouta+Tower+ruins+%26+old+press+remains%2C+Deir+Al-Zahrani%2C+Lebanon</x:v>
      </x:c>
      <x:c r="S24" s="30" t="str"/>
      <x:c r="T24" s="30" t="str">
        <x:v>2026-09-07</x:v>
      </x:c>
    </x:row>
    <x:row r="25">
      <x:c r="A25" s="30" t="n">
        <x:v>24</x:v>
      </x:c>
      <x:c r="B25" s="30" t="str">
        <x:v>Deir Al-Zahrani</x:v>
      </x:c>
      <x:c r="C25" s="30" t="str">
        <x:v>Old mills and heritage houses</x:v>
      </x:c>
      <x:c r="D25" s="30" t="str">
        <x:v>Heritage / Village Walk</x:v>
      </x:c>
      <x:c r="E25" s="30" t="str">
        <x:v>Heritage / Culture</x:v>
      </x:c>
      <x:c r="F25" s="30" t="str">
        <x:v>Timeless / verify access</x:v>
      </x:c>
      <x:c r="G25" s="30" t="str">
        <x:v>Heritage walk focused on traditional mills and houses documented in the village.</x:v>
      </x:c>
      <x:c r="H25" s="30" t="str">
        <x:v>Deir Al-Zahrani</x:v>
      </x:c>
      <x:c r="I25" s="30" t="str"/>
      <x:c r="J25" s="32"/>
      <x:c r="K25" s="34"/>
      <x:c r="L25" s="30" t="str"/>
      <x:c r="M25" s="30" t="str">
        <x:v>Access unknown</x:v>
      </x:c>
      <x:c r="N25" s="30" t="str">
        <x:v>Medium</x:v>
      </x:c>
      <x:c r="O25" s="30" t="str">
        <x:v>Exact village</x:v>
      </x:c>
      <x:c r="P25" s="30" t="str">
        <x:v>Destination Lebanon Nabatieh guide</x:v>
      </x:c>
      <x:c r="Q25" s="30" t="str">
        <x:v>https://www.destinationlebanon.com/download-sub/destleb/nabatieh.pdf</x:v>
      </x:c>
      <x:c r="R25" s="30" t="str">
        <x:v>https://www.google.com/maps/search/?api=1&amp;query=Old+mills+and+heritage+houses%2C+Deir+Al-Zahrani%2C+Lebanon</x:v>
      </x:c>
      <x:c r="S25" s="30" t="str"/>
      <x:c r="T25" s="30" t="str">
        <x:v>2026-09-07</x:v>
      </x:c>
    </x:row>
    <x:row r="26">
      <x:c r="A26" s="30" t="n">
        <x:v>25</x:v>
      </x:c>
      <x:c r="B26" s="30" t="str">
        <x:v>Doueir</x:v>
      </x:c>
      <x:c r="C26" s="30" t="str">
        <x:v>Pulse Fitness</x:v>
      </x:c>
      <x:c r="D26" s="30" t="str">
        <x:v>Sports / Gym</x:v>
      </x:c>
      <x:c r="E26" s="30" t="str">
        <x:v>Sports / Fitness</x:v>
      </x:c>
      <x:c r="F26" s="30" t="str">
        <x:v>Active - verified</x:v>
      </x:c>
      <x:c r="G26" s="30" t="str">
        <x:v>Gym / fitness training.</x:v>
      </x:c>
      <x:c r="H26" s="30" t="str">
        <x:v>Main Street, Doueir</x:v>
      </x:c>
      <x:c r="I26" s="30" t="str">
        <x:v>+961 81 071 800</x:v>
      </x:c>
      <x:c r="J26" s="32" t="n">
        <x:v>4.7</x:v>
      </x:c>
      <x:c r="K26" s="34" t="n">
        <x:v>3</x:v>
      </x:c>
      <x:c r="L26" s="30" t="str">
        <x:v>Mon–Fri 09:00–22:00; Sat 09:00–19:30</x:v>
      </x:c>
      <x:c r="M26" s="30" t="str">
        <x:v>Commercial</x:v>
      </x:c>
      <x:c r="N26" s="30" t="str">
        <x:v>High</x:v>
      </x:c>
      <x:c r="O26" s="30" t="str">
        <x:v>Exact village</x:v>
      </x:c>
      <x:c r="P26" s="30" t="str">
        <x:v>Current local-business listing</x:v>
      </x:c>
      <x:c r="Q26" s="30" t="str">
        <x:v>https://www.google.com/maps/search/?api=1&amp;query=Pulse+Fitness%2C+Doueir%2C+Lebanon</x:v>
      </x:c>
      <x:c r="R26" s="30" t="str">
        <x:v>https://www.google.com/maps/search/?api=1&amp;query=Pulse+Fitness%2C+Doueir%2C+Lebanon</x:v>
      </x:c>
      <x:c r="S26" s="30" t="str"/>
      <x:c r="T26" s="30" t="str">
        <x:v>2026-09-07</x:v>
      </x:c>
    </x:row>
    <x:row r="27">
      <x:c r="A27" s="30" t="n">
        <x:v>26</x:v>
      </x:c>
      <x:c r="B27" s="30" t="str">
        <x:v>Doueir</x:v>
      </x:c>
      <x:c r="C27" s="30" t="str">
        <x:v>Abu Ayman Gym</x:v>
      </x:c>
      <x:c r="D27" s="30" t="str">
        <x:v>Sports / Gym</x:v>
      </x:c>
      <x:c r="E27" s="30" t="str">
        <x:v>Sports / Fitness</x:v>
      </x:c>
      <x:c r="F27" s="30" t="str">
        <x:v>Active - verified</x:v>
      </x:c>
      <x:c r="G27" s="30" t="str">
        <x:v>Gym / fitness training.</x:v>
      </x:c>
      <x:c r="H27" s="30" t="str">
        <x:v>9CRG+C37, Doueir</x:v>
      </x:c>
      <x:c r="I27" s="30" t="str"/>
      <x:c r="J27" s="32" t="n">
        <x:v>4.4</x:v>
      </x:c>
      <x:c r="K27" s="34" t="n">
        <x:v>36</x:v>
      </x:c>
      <x:c r="L27" s="30" t="str">
        <x:v>Mon–Fri 10:00–22:00; Sat 10:00–16:00</x:v>
      </x:c>
      <x:c r="M27" s="30" t="str">
        <x:v>Commercial</x:v>
      </x:c>
      <x:c r="N27" s="30" t="str">
        <x:v>High</x:v>
      </x:c>
      <x:c r="O27" s="30" t="str">
        <x:v>Exact village</x:v>
      </x:c>
      <x:c r="P27" s="30" t="str">
        <x:v>Current local-business listing</x:v>
      </x:c>
      <x:c r="Q27" s="30" t="str">
        <x:v>https://www.google.com/maps/search/?api=1&amp;query=Abu+Ayman+Gym%2C+Doueir%2C+Lebanon</x:v>
      </x:c>
      <x:c r="R27" s="30" t="str">
        <x:v>https://www.google.com/maps/search/?api=1&amp;query=Abu+Ayman+Gym%2C+Doueir%2C+Lebanon</x:v>
      </x:c>
      <x:c r="S27" s="30" t="str"/>
      <x:c r="T27" s="30" t="str">
        <x:v>2026-09-07</x:v>
      </x:c>
    </x:row>
    <x:row r="28">
      <x:c r="A28" s="30" t="n">
        <x:v>27</x:v>
      </x:c>
      <x:c r="B28" s="30" t="str">
        <x:v>Doueir</x:v>
      </x:c>
      <x:c r="C28" s="30" t="str">
        <x:v>Farah Gym</x:v>
      </x:c>
      <x:c r="D28" s="30" t="str">
        <x:v>Sports / Gym</x:v>
      </x:c>
      <x:c r="E28" s="30" t="str">
        <x:v>Sports / Fitness</x:v>
      </x:c>
      <x:c r="F28" s="30" t="str">
        <x:v>Active - verified</x:v>
      </x:c>
      <x:c r="G28" s="30" t="str">
        <x:v>Gym / fitness training.</x:v>
      </x:c>
      <x:c r="H28" s="30" t="str">
        <x:v>9CV7+8HR, Main Street, Doueir</x:v>
      </x:c>
      <x:c r="I28" s="30" t="str">
        <x:v>+961 3 986 017</x:v>
      </x:c>
      <x:c r="J28" s="32" t="n">
        <x:v>4.7</x:v>
      </x:c>
      <x:c r="K28" s="34" t="n">
        <x:v>12</x:v>
      </x:c>
      <x:c r="L28" s="30" t="str">
        <x:v>Mon–Sat 09:00–20:00</x:v>
      </x:c>
      <x:c r="M28" s="30" t="str">
        <x:v>Commercial</x:v>
      </x:c>
      <x:c r="N28" s="30" t="str">
        <x:v>High</x:v>
      </x:c>
      <x:c r="O28" s="30" t="str">
        <x:v>Exact village</x:v>
      </x:c>
      <x:c r="P28" s="30" t="str">
        <x:v>Current local-business listing</x:v>
      </x:c>
      <x:c r="Q28" s="30" t="str">
        <x:v>https://www.google.com/maps/search/?api=1&amp;query=Farah+Gym%2C+Doueir%2C+Lebanon</x:v>
      </x:c>
      <x:c r="R28" s="30" t="str">
        <x:v>https://www.google.com/maps/search/?api=1&amp;query=Farah+Gym%2C+Doueir%2C+Lebanon</x:v>
      </x:c>
      <x:c r="S28" s="30" t="str"/>
      <x:c r="T28" s="30" t="str">
        <x:v>2026-09-07</x:v>
      </x:c>
    </x:row>
    <x:row r="29">
      <x:c r="A29" s="30" t="n">
        <x:v>28</x:v>
      </x:c>
      <x:c r="B29" s="30" t="str">
        <x:v>Habbouch</x:v>
      </x:c>
      <x:c r="C29" s="30" t="str">
        <x:v>Uphi Park</x:v>
      </x:c>
      <x:c r="D29" s="30" t="str">
        <x:v>Park / Family</x:v>
      </x:c>
      <x:c r="E29" s="30" t="str">
        <x:v>Parks / Family</x:v>
      </x:c>
      <x:c r="F29" s="30" t="str">
        <x:v>Active - verified</x:v>
      </x:c>
      <x:c r="G29" s="30" t="str">
        <x:v>Public-style park visit and family leisure.</x:v>
      </x:c>
      <x:c r="H29" s="30" t="str">
        <x:v>CF7Q+QQH, Habbouch</x:v>
      </x:c>
      <x:c r="I29" s="30" t="str">
        <x:v>+961 81 392 995</x:v>
      </x:c>
      <x:c r="J29" s="32" t="n">
        <x:v>4.9</x:v>
      </x:c>
      <x:c r="K29" s="34" t="n">
        <x:v>57</x:v>
      </x:c>
      <x:c r="L29" s="30" t="str">
        <x:v>Tue–Sun 12:00–21:00</x:v>
      </x:c>
      <x:c r="M29" s="30" t="str">
        <x:v>Check venue access</x:v>
      </x:c>
      <x:c r="N29" s="30" t="str">
        <x:v>High</x:v>
      </x:c>
      <x:c r="O29" s="30" t="str">
        <x:v>Exact village</x:v>
      </x:c>
      <x:c r="P29" s="30" t="str">
        <x:v>Current local-business listing</x:v>
      </x:c>
      <x:c r="Q29" s="30" t="str">
        <x:v>https://www.google.com/maps/search/?api=1&amp;query=Uphi+Park%2C+Habbouch%2C+Lebanon</x:v>
      </x:c>
      <x:c r="R29" s="30" t="str">
        <x:v>https://www.google.com/maps/search/?api=1&amp;query=Uphi+Park%2C+Habbouch%2C+Lebanon</x:v>
      </x:c>
      <x:c r="S29" s="30" t="str"/>
      <x:c r="T29" s="30" t="str">
        <x:v>2026-09-07</x:v>
      </x:c>
    </x:row>
    <x:row r="30">
      <x:c r="A30" s="30" t="n">
        <x:v>29</x:v>
      </x:c>
      <x:c r="B30" s="30" t="str">
        <x:v>Habbouch</x:v>
      </x:c>
      <x:c r="C30" s="30" t="str">
        <x:v>ساحة حبوش (Habbouch Square)</x:v>
      </x:c>
      <x:c r="D30" s="30" t="str">
        <x:v>Heritage / Public Square</x:v>
      </x:c>
      <x:c r="E30" s="30" t="str">
        <x:v>Heritage / Culture</x:v>
      </x:c>
      <x:c r="F30" s="30" t="str">
        <x:v>Active listing</x:v>
      </x:c>
      <x:c r="G30" s="30" t="str">
        <x:v>Visit the village square / local historical place.</x:v>
      </x:c>
      <x:c r="H30" s="30" t="str">
        <x:v>Habbouch</x:v>
      </x:c>
      <x:c r="I30" s="30" t="str">
        <x:v>+961 3 190 115</x:v>
      </x:c>
      <x:c r="J30" s="32" t="n">
        <x:v>5</x:v>
      </x:c>
      <x:c r="K30" s="34" t="n">
        <x:v>4</x:v>
      </x:c>
      <x:c r="L30" s="30" t="str">
        <x:v>Open 24 hours</x:v>
      </x:c>
      <x:c r="M30" s="30" t="str">
        <x:v>Public</x:v>
      </x:c>
      <x:c r="N30" s="30" t="str">
        <x:v>High</x:v>
      </x:c>
      <x:c r="O30" s="30" t="str">
        <x:v>Exact village</x:v>
      </x:c>
      <x:c r="P30" s="30" t="str">
        <x:v>Current local-business listing</x:v>
      </x:c>
      <x:c r="Q30" s="30" t="str">
        <x:v>https://www.google.com/maps/search/?api=1&amp;query=%D8%B3%D8%A7%D8%AD%D8%A9+%D8%AD%D8%A8%D9%88%D8%B4%2C+Habbouch%2C+Lebanon</x:v>
      </x:c>
      <x:c r="R30" s="30" t="str">
        <x:v>https://www.google.com/maps/search/?api=1&amp;query=%D8%B3%D8%A7%D8%AD%D8%A9+%D8%AD%D8%A8%D9%88%D8%B4+%28Habbouch+Square%29%2C+Habbouch%2C+Lebanon</x:v>
      </x:c>
      <x:c r="S30" s="30" t="str"/>
      <x:c r="T30" s="30" t="str">
        <x:v>2026-09-07</x:v>
      </x:c>
    </x:row>
    <x:row r="31">
      <x:c r="A31" s="30" t="n">
        <x:v>30</x:v>
      </x:c>
      <x:c r="B31" s="30" t="str">
        <x:v>Habbouch</x:v>
      </x:c>
      <x:c r="C31" s="30" t="str">
        <x:v>JoyMondo</x:v>
      </x:c>
      <x:c r="D31" s="30" t="str">
        <x:v>Family / Indoor Playground</x:v>
      </x:c>
      <x:c r="E31" s="30" t="str">
        <x:v>Parks / Family</x:v>
      </x:c>
      <x:c r="F31" s="30" t="str">
        <x:v>Active - verified</x:v>
      </x:c>
      <x:c r="G31" s="30" t="str">
        <x:v>Indoor children's playground and family recreation.</x:v>
      </x:c>
      <x:c r="H31" s="30" t="str">
        <x:v>9FXM+27J, Habbouch</x:v>
      </x:c>
      <x:c r="I31" s="30" t="str">
        <x:v>+961 78 932 011</x:v>
      </x:c>
      <x:c r="J31" s="32" t="n">
        <x:v>5</x:v>
      </x:c>
      <x:c r="K31" s="34" t="n">
        <x:v>4</x:v>
      </x:c>
      <x:c r="L31" s="30" t="str">
        <x:v>Tue–Sun 14:00–21:00</x:v>
      </x:c>
      <x:c r="M31" s="30" t="str">
        <x:v>Commercial</x:v>
      </x:c>
      <x:c r="N31" s="30" t="str">
        <x:v>High</x:v>
      </x:c>
      <x:c r="O31" s="30" t="str">
        <x:v>Exact village</x:v>
      </x:c>
      <x:c r="P31" s="30" t="str">
        <x:v>Current local-business listing + digital menu</x:v>
      </x:c>
      <x:c r="Q31" s="30" t="str">
        <x:v>https://rest.thrubits.com/restaurant/joymondo</x:v>
      </x:c>
      <x:c r="R31" s="30" t="str">
        <x:v>https://www.google.com/maps/search/?api=1&amp;query=JoyMondo%2C+Habbouch%2C+Lebanon</x:v>
      </x:c>
      <x:c r="S31" s="30" t="str"/>
      <x:c r="T31" s="30" t="str">
        <x:v>2026-09-07</x:v>
      </x:c>
    </x:row>
    <x:row r="32">
      <x:c r="A32" s="30" t="n">
        <x:v>31</x:v>
      </x:c>
      <x:c r="B32" s="30" t="str">
        <x:v>Habbouch</x:v>
      </x:c>
      <x:c r="C32" s="30" t="str">
        <x:v>Gymnos</x:v>
      </x:c>
      <x:c r="D32" s="30" t="str">
        <x:v>Sports / Gym</x:v>
      </x:c>
      <x:c r="E32" s="30" t="str">
        <x:v>Sports / Fitness</x:v>
      </x:c>
      <x:c r="F32" s="30" t="str">
        <x:v>Active - verified</x:v>
      </x:c>
      <x:c r="G32" s="30" t="str">
        <x:v>Gym / fitness training.</x:v>
      </x:c>
      <x:c r="H32" s="30" t="str">
        <x:v>Al Wadi, Habbouch</x:v>
      </x:c>
      <x:c r="I32" s="30" t="str">
        <x:v>+961 78 810 506</x:v>
      </x:c>
      <x:c r="J32" s="32" t="n">
        <x:v>4.5</x:v>
      </x:c>
      <x:c r="K32" s="34" t="n">
        <x:v>15</x:v>
      </x:c>
      <x:c r="L32" s="30" t="str">
        <x:v>Mon–Fri 09:00–20:00; Sat 10:00–14:00</x:v>
      </x:c>
      <x:c r="M32" s="30" t="str">
        <x:v>Commercial</x:v>
      </x:c>
      <x:c r="N32" s="30" t="str">
        <x:v>High</x:v>
      </x:c>
      <x:c r="O32" s="30" t="str">
        <x:v>Exact village</x:v>
      </x:c>
      <x:c r="P32" s="30" t="str">
        <x:v>Current local-business listing</x:v>
      </x:c>
      <x:c r="Q32" s="30" t="str">
        <x:v>https://www.google.com/maps/search/?api=1&amp;query=Gymnos%2C+Habbouch%2C+Lebanon</x:v>
      </x:c>
      <x:c r="R32" s="30" t="str">
        <x:v>https://www.google.com/maps/search/?api=1&amp;query=Gymnos%2C+Habbouch%2C+Lebanon</x:v>
      </x:c>
      <x:c r="S32" s="30" t="str"/>
      <x:c r="T32" s="30" t="str">
        <x:v>2026-09-07</x:v>
      </x:c>
    </x:row>
    <x:row r="33">
      <x:c r="A33" s="30" t="n">
        <x:v>32</x:v>
      </x:c>
      <x:c r="B33" s="30" t="str">
        <x:v>Habbouch</x:v>
      </x:c>
      <x:c r="C33" s="30" t="str">
        <x:v>Cesar Gym</x:v>
      </x:c>
      <x:c r="D33" s="30" t="str">
        <x:v>Sports / Gymnastics</x:v>
      </x:c>
      <x:c r="E33" s="30" t="str">
        <x:v>Sports / Fitness</x:v>
      </x:c>
      <x:c r="F33" s="30" t="str">
        <x:v>Active - verified</x:v>
      </x:c>
      <x:c r="G33" s="30" t="str">
        <x:v>Gymnastics / fitness activities.</x:v>
      </x:c>
      <x:c r="H33" s="30" t="str">
        <x:v>CF2J+C23, Habbouch</x:v>
      </x:c>
      <x:c r="I33" s="30" t="str"/>
      <x:c r="J33" s="32" t="n">
        <x:v>4</x:v>
      </x:c>
      <x:c r="K33" s="34" t="n">
        <x:v>24</x:v>
      </x:c>
      <x:c r="L33" s="30" t="str">
        <x:v>Mon–Fri 09:00–22:30; Sat 08:00–20:00</x:v>
      </x:c>
      <x:c r="M33" s="30" t="str">
        <x:v>Commercial</x:v>
      </x:c>
      <x:c r="N33" s="30" t="str">
        <x:v>High</x:v>
      </x:c>
      <x:c r="O33" s="30" t="str">
        <x:v>Exact village</x:v>
      </x:c>
      <x:c r="P33" s="30" t="str">
        <x:v>Current local-business listing</x:v>
      </x:c>
      <x:c r="Q33" s="30" t="str">
        <x:v>https://www.google.com/maps/search/?api=1&amp;query=Cesar+Gym%2C+Habbouch%2C+Lebanon</x:v>
      </x:c>
      <x:c r="R33" s="30" t="str">
        <x:v>https://www.google.com/maps/search/?api=1&amp;query=Cesar+Gym%2C+Habbouch%2C+Lebanon</x:v>
      </x:c>
      <x:c r="S33" s="30" t="str"/>
      <x:c r="T33" s="30" t="str">
        <x:v>2026-09-07</x:v>
      </x:c>
    </x:row>
    <x:row r="34">
      <x:c r="A34" s="30" t="n">
        <x:v>33</x:v>
      </x:c>
      <x:c r="B34" s="30" t="str">
        <x:v>Habbouch</x:v>
      </x:c>
      <x:c r="C34" s="30" t="str">
        <x:v>Habbouch Sports Club / indoor sports facility</x:v>
      </x:c>
      <x:c r="D34" s="30" t="str">
        <x:v>Sports / Indoor Facility</x:v>
      </x:c>
      <x:c r="E34" s="30" t="str">
        <x:v>Sports / Fitness</x:v>
      </x:c>
      <x:c r="F34" s="30" t="str">
        <x:v>Project / verify public access</x:v>
      </x:c>
      <x:c r="G34" s="30" t="str">
        <x:v>Indoor sports hall / playground activity associated with a completed municipal sports project.</x:v>
      </x:c>
      <x:c r="H34" s="30" t="str">
        <x:v>Habbouch</x:v>
      </x:c>
      <x:c r="I34" s="30" t="str"/>
      <x:c r="J34" s="32"/>
      <x:c r="K34" s="34"/>
      <x:c r="L34" s="30" t="str"/>
      <x:c r="M34" s="30" t="str">
        <x:v>Public access unknown</x:v>
      </x:c>
      <x:c r="N34" s="30" t="str">
        <x:v>Medium</x:v>
      </x:c>
      <x:c r="O34" s="30" t="str">
        <x:v>Exact village</x:v>
      </x:c>
      <x:c r="P34" s="30" t="str">
        <x:v>Municipal/project profile</x:v>
      </x:c>
      <x:c r="Q34" s="30" t="str">
        <x:v>https://www.tmc.com.lb/portfolio/habbouch-sports-club/</x:v>
      </x:c>
      <x:c r="R34" s="30" t="str">
        <x:v>https://www.google.com/maps/search/?api=1&amp;query=Habbouch+Sports+Club+%2F+indoor+sports+facility%2C+Habbouch%2C+Lebanon</x:v>
      </x:c>
      <x:c r="S34" s="30" t="str"/>
      <x:c r="T34" s="30" t="str">
        <x:v>2026-09-07</x:v>
      </x:c>
    </x:row>
    <x:row r="35">
      <x:c r="A35" s="30" t="n">
        <x:v>34</x:v>
      </x:c>
      <x:c r="B35" s="30" t="str">
        <x:v>Harouf</x:v>
      </x:c>
      <x:c r="C35" s="30" t="str">
        <x:v>Park خشبات</x:v>
      </x:c>
      <x:c r="D35" s="30" t="str">
        <x:v>Park / Nature</x:v>
      </x:c>
      <x:c r="E35" s="30" t="str">
        <x:v>Nature / Hiking</x:v>
      </x:c>
      <x:c r="F35" s="30" t="str">
        <x:v>Active - verified</x:v>
      </x:c>
      <x:c r="G35" s="30" t="str">
        <x:v>Local park visit / outdoor leisure.</x:v>
      </x:c>
      <x:c r="H35" s="30" t="str">
        <x:v>9CCW+6RJ, Harouf</x:v>
      </x:c>
      <x:c r="I35" s="30" t="str"/>
      <x:c r="J35" s="32"/>
      <x:c r="K35" s="34"/>
      <x:c r="L35" s="30" t="str"/>
      <x:c r="M35" s="30" t="str">
        <x:v>Public</x:v>
      </x:c>
      <x:c r="N35" s="30" t="str">
        <x:v>High</x:v>
      </x:c>
      <x:c r="O35" s="30" t="str">
        <x:v>Exact village</x:v>
      </x:c>
      <x:c r="P35" s="30" t="str">
        <x:v>Current local-business listing</x:v>
      </x:c>
      <x:c r="Q35" s="30" t="str">
        <x:v>https://www.google.com/maps/search/?api=1&amp;query=%D8%AE%D8%B4%D8%A8%D8%A7%D8%AA%2C+Harouf%2C+Lebanon</x:v>
      </x:c>
      <x:c r="R35" s="30" t="str">
        <x:v>https://www.google.com/maps/search/?api=1&amp;query=Park+%D8%AE%D8%B4%D8%A8%D8%A7%D8%AA%2C+Harouf%2C+Lebanon</x:v>
      </x:c>
      <x:c r="S35" s="30" t="str"/>
      <x:c r="T35" s="30" t="str">
        <x:v>2026-09-07</x:v>
      </x:c>
    </x:row>
    <x:row r="36">
      <x:c r="A36" s="30" t="n">
        <x:v>35</x:v>
      </x:c>
      <x:c r="B36" s="30" t="str">
        <x:v>Harouf</x:v>
      </x:c>
      <x:c r="C36" s="30" t="str">
        <x:v>Ignite Gym</x:v>
      </x:c>
      <x:c r="D36" s="30" t="str">
        <x:v>Sports / Gym</x:v>
      </x:c>
      <x:c r="E36" s="30" t="str">
        <x:v>Sports / Fitness</x:v>
      </x:c>
      <x:c r="F36" s="30" t="str">
        <x:v>Active - verified</x:v>
      </x:c>
      <x:c r="G36" s="30" t="str">
        <x:v>Gym / fitness training.</x:v>
      </x:c>
      <x:c r="H36" s="30" t="str">
        <x:v>9CJX+7QG, Harouf</x:v>
      </x:c>
      <x:c r="I36" s="30" t="str">
        <x:v>+961 76 627 554</x:v>
      </x:c>
      <x:c r="J36" s="32"/>
      <x:c r="K36" s="34"/>
      <x:c r="L36" s="30" t="str">
        <x:v>Mon–Sat 10:00–00:00</x:v>
      </x:c>
      <x:c r="M36" s="30" t="str">
        <x:v>Commercial</x:v>
      </x:c>
      <x:c r="N36" s="30" t="str">
        <x:v>High</x:v>
      </x:c>
      <x:c r="O36" s="30" t="str">
        <x:v>Exact village</x:v>
      </x:c>
      <x:c r="P36" s="30" t="str">
        <x:v>Current local-business listing</x:v>
      </x:c>
      <x:c r="Q36" s="30" t="str">
        <x:v>https://www.google.com/maps/search/?api=1&amp;query=Ignite+Gym%2C+Harouf%2C+Lebanon</x:v>
      </x:c>
      <x:c r="R36" s="30" t="str">
        <x:v>https://www.google.com/maps/search/?api=1&amp;query=Ignite+Gym%2C+Harouf%2C+Lebanon</x:v>
      </x:c>
      <x:c r="S36" s="30" t="str"/>
      <x:c r="T36" s="30" t="str">
        <x:v>2026-09-07</x:v>
      </x:c>
    </x:row>
    <x:row r="37">
      <x:c r="A37" s="30" t="n">
        <x:v>36</x:v>
      </x:c>
      <x:c r="B37" s="30" t="str">
        <x:v>Houmine Al-Fawqa</x:v>
      </x:c>
      <x:c r="C37" s="30" t="str">
        <x:v>Ain Al-Tineh</x:v>
      </x:c>
      <x:c r="D37" s="30" t="str">
        <x:v>Nature / Spring</x:v>
      </x:c>
      <x:c r="E37" s="30" t="str">
        <x:v>Nature / Hiking</x:v>
      </x:c>
      <x:c r="F37" s="30" t="str">
        <x:v>Timeless / verify access</x:v>
      </x:c>
      <x:c r="G37" s="30" t="str">
        <x:v>Nature walk / spring visit.</x:v>
      </x:c>
      <x:c r="H37" s="30" t="str">
        <x:v>Houmine Al-Fawqa</x:v>
      </x:c>
      <x:c r="I37" s="30" t="str"/>
      <x:c r="J37" s="32"/>
      <x:c r="K37" s="34"/>
      <x:c r="L37" s="30" t="str"/>
      <x:c r="M37" s="30" t="str">
        <x:v>Access unknown</x:v>
      </x:c>
      <x:c r="N37" s="30" t="str">
        <x:v>Medium</x:v>
      </x:c>
      <x:c r="O37" s="30" t="str">
        <x:v>Exact village</x:v>
      </x:c>
      <x:c r="P37" s="30" t="str">
        <x:v>Destination Lebanon Nabatieh guide</x:v>
      </x:c>
      <x:c r="Q37" s="30" t="str">
        <x:v>https://www.destinationlebanon.com/download-sub/destleb/nabatieh.pdf</x:v>
      </x:c>
      <x:c r="R37" s="30" t="str">
        <x:v>https://www.google.com/maps/search/?api=1&amp;query=Ain+Al-Tineh%2C+Houmine+Al-Fawqa%2C+Lebanon</x:v>
      </x:c>
      <x:c r="S37" s="30" t="str"/>
      <x:c r="T37" s="30" t="str">
        <x:v>2026-09-07</x:v>
      </x:c>
    </x:row>
    <x:row r="38">
      <x:c r="A38" s="30" t="n">
        <x:v>37</x:v>
      </x:c>
      <x:c r="B38" s="30" t="str">
        <x:v>Houmine Al-Fawqa</x:v>
      </x:c>
      <x:c r="C38" s="30" t="str">
        <x:v>Ain Al-Daya'a</x:v>
      </x:c>
      <x:c r="D38" s="30" t="str">
        <x:v>Nature / Spring</x:v>
      </x:c>
      <x:c r="E38" s="30" t="str">
        <x:v>Nature / Hiking</x:v>
      </x:c>
      <x:c r="F38" s="30" t="str">
        <x:v>Timeless / verify access</x:v>
      </x:c>
      <x:c r="G38" s="30" t="str">
        <x:v>Nature walk / village spring visit.</x:v>
      </x:c>
      <x:c r="H38" s="30" t="str">
        <x:v>Houmine Al-Fawqa</x:v>
      </x:c>
      <x:c r="I38" s="30" t="str"/>
      <x:c r="J38" s="32"/>
      <x:c r="K38" s="34"/>
      <x:c r="L38" s="30" t="str"/>
      <x:c r="M38" s="30" t="str">
        <x:v>Access unknown</x:v>
      </x:c>
      <x:c r="N38" s="30" t="str">
        <x:v>Medium</x:v>
      </x:c>
      <x:c r="O38" s="30" t="str">
        <x:v>Exact village</x:v>
      </x:c>
      <x:c r="P38" s="30" t="str">
        <x:v>Destination Lebanon Nabatieh guide</x:v>
      </x:c>
      <x:c r="Q38" s="30" t="str">
        <x:v>https://www.destinationlebanon.com/download-sub/destleb/nabatieh.pdf</x:v>
      </x:c>
      <x:c r="R38" s="30" t="str">
        <x:v>https://www.google.com/maps/search/?api=1&amp;query=Ain+Al-Daya%27a%2C+Houmine+Al-Fawqa%2C+Lebanon</x:v>
      </x:c>
      <x:c r="S38" s="30" t="str"/>
      <x:c r="T38" s="30" t="str">
        <x:v>2026-09-07</x:v>
      </x:c>
    </x:row>
    <x:row r="39">
      <x:c r="A39" s="30" t="n">
        <x:v>38</x:v>
      </x:c>
      <x:c r="B39" s="30" t="str">
        <x:v>Houmine Al-Fawqa</x:v>
      </x:c>
      <x:c r="C39" s="30" t="str">
        <x:v>Oak Woods</x:v>
      </x:c>
      <x:c r="D39" s="30" t="str">
        <x:v>Nature / Woodland</x:v>
      </x:c>
      <x:c r="E39" s="30" t="str">
        <x:v>Nature / Hiking</x:v>
      </x:c>
      <x:c r="F39" s="30" t="str">
        <x:v>Timeless / verify access</x:v>
      </x:c>
      <x:c r="G39" s="30" t="str">
        <x:v>Woodland walk / nature exploration.</x:v>
      </x:c>
      <x:c r="H39" s="30" t="str">
        <x:v>Houmine Al-Fawqa</x:v>
      </x:c>
      <x:c r="I39" s="30" t="str"/>
      <x:c r="J39" s="32"/>
      <x:c r="K39" s="34"/>
      <x:c r="L39" s="30" t="str"/>
      <x:c r="M39" s="30" t="str">
        <x:v>Access unknown</x:v>
      </x:c>
      <x:c r="N39" s="30" t="str">
        <x:v>Medium</x:v>
      </x:c>
      <x:c r="O39" s="30" t="str">
        <x:v>Exact village</x:v>
      </x:c>
      <x:c r="P39" s="30" t="str">
        <x:v>Destination Lebanon Nabatieh guide</x:v>
      </x:c>
      <x:c r="Q39" s="30" t="str">
        <x:v>https://www.destinationlebanon.com/download-sub/destleb/nabatieh.pdf</x:v>
      </x:c>
      <x:c r="R39" s="30" t="str">
        <x:v>https://www.google.com/maps/search/?api=1&amp;query=Oak+Woods%2C+Houmine+Al-Fawqa%2C+Lebanon</x:v>
      </x:c>
      <x:c r="S39" s="30" t="str"/>
      <x:c r="T39" s="30" t="str">
        <x:v>2026-09-07</x:v>
      </x:c>
    </x:row>
    <x:row r="40">
      <x:c r="A40" s="30" t="n">
        <x:v>39</x:v>
      </x:c>
      <x:c r="B40" s="30" t="str">
        <x:v>Houmine Al-Fawqa</x:v>
      </x:c>
      <x:c r="C40" s="30" t="str">
        <x:v>Ain Al-Soufla</x:v>
      </x:c>
      <x:c r="D40" s="30" t="str">
        <x:v>Nature / Spring</x:v>
      </x:c>
      <x:c r="E40" s="30" t="str">
        <x:v>Nature / Hiking</x:v>
      </x:c>
      <x:c r="F40" s="30" t="str">
        <x:v>Timeless / verify access</x:v>
      </x:c>
      <x:c r="G40" s="30" t="str">
        <x:v>Nature walk / spring visit.</x:v>
      </x:c>
      <x:c r="H40" s="30" t="str">
        <x:v>Houmine Al-Fawqa</x:v>
      </x:c>
      <x:c r="I40" s="30" t="str"/>
      <x:c r="J40" s="32"/>
      <x:c r="K40" s="34"/>
      <x:c r="L40" s="30" t="str"/>
      <x:c r="M40" s="30" t="str">
        <x:v>Access unknown</x:v>
      </x:c>
      <x:c r="N40" s="30" t="str">
        <x:v>Medium</x:v>
      </x:c>
      <x:c r="O40" s="30" t="str">
        <x:v>Exact village</x:v>
      </x:c>
      <x:c r="P40" s="30" t="str">
        <x:v>Destination Lebanon Nabatieh guide</x:v>
      </x:c>
      <x:c r="Q40" s="30" t="str">
        <x:v>https://www.destinationlebanon.com/download-sub/destleb/nabatieh.pdf</x:v>
      </x:c>
      <x:c r="R40" s="30" t="str">
        <x:v>https://www.google.com/maps/search/?api=1&amp;query=Ain+Al-Soufla%2C+Houmine+Al-Fawqa%2C+Lebanon</x:v>
      </x:c>
      <x:c r="S40" s="30" t="str"/>
      <x:c r="T40" s="30" t="str">
        <x:v>2026-09-07</x:v>
      </x:c>
    </x:row>
    <x:row r="41">
      <x:c r="A41" s="30" t="n">
        <x:v>40</x:v>
      </x:c>
      <x:c r="B41" s="30" t="str">
        <x:v>Houmine Al-Fawqa</x:v>
      </x:c>
      <x:c r="C41" s="30" t="str">
        <x:v>Shakfeen Hassouna archaeological remains</x:v>
      </x:c>
      <x:c r="D41" s="30" t="str">
        <x:v>Heritage / Archaeology</x:v>
      </x:c>
      <x:c r="E41" s="30" t="str">
        <x:v>Heritage / Culture</x:v>
      </x:c>
      <x:c r="F41" s="30" t="str">
        <x:v>Timeless / verify access</x:v>
      </x:c>
      <x:c r="G41" s="30" t="str">
        <x:v>Explore an area documented with ancient sarcophagi and grape-press remains.</x:v>
      </x:c>
      <x:c r="H41" s="30" t="str">
        <x:v>South of Houmine Al-Fawqa</x:v>
      </x:c>
      <x:c r="I41" s="30" t="str"/>
      <x:c r="J41" s="32"/>
      <x:c r="K41" s="34"/>
      <x:c r="L41" s="30" t="str"/>
      <x:c r="M41" s="30" t="str">
        <x:v>Access unknown</x:v>
      </x:c>
      <x:c r="N41" s="30" t="str">
        <x:v>Medium</x:v>
      </x:c>
      <x:c r="O41" s="30" t="str">
        <x:v>Exact village</x:v>
      </x:c>
      <x:c r="P41" s="30" t="str">
        <x:v>Destination Lebanon Nabatieh guide</x:v>
      </x:c>
      <x:c r="Q41" s="30" t="str">
        <x:v>https://www.destinationlebanon.com/download-sub/destleb/nabatieh.pdf</x:v>
      </x:c>
      <x:c r="R41" s="30" t="str">
        <x:v>https://www.google.com/maps/search/?api=1&amp;query=Shakfeen+Hassouna+archaeological+remains%2C+Houmine+Al-Fawqa%2C+Lebanon</x:v>
      </x:c>
      <x:c r="S41" s="30" t="str"/>
      <x:c r="T41" s="30" t="str">
        <x:v>2026-09-07</x:v>
      </x:c>
    </x:row>
    <x:row r="42">
      <x:c r="A42" s="30" t="n">
        <x:v>41</x:v>
      </x:c>
      <x:c r="B42" s="30" t="str">
        <x:v>Jarjouh / Jargea</x:v>
      </x:c>
      <x:c r="C42" s="30" t="str">
        <x:v>Martyrs Public Park</x:v>
      </x:c>
      <x:c r="D42" s="30" t="str">
        <x:v>Park / Family</x:v>
      </x:c>
      <x:c r="E42" s="30" t="str">
        <x:v>Parks / Family</x:v>
      </x:c>
      <x:c r="F42" s="30" t="str">
        <x:v>Active - verified</x:v>
      </x:c>
      <x:c r="G42" s="30" t="str">
        <x:v>Public park / family outdoor time.</x:v>
      </x:c>
      <x:c r="H42" s="30" t="str">
        <x:v>CGR8+QPP, Jarjouaa</x:v>
      </x:c>
      <x:c r="I42" s="30" t="str"/>
      <x:c r="J42" s="32" t="n">
        <x:v>4.3</x:v>
      </x:c>
      <x:c r="K42" s="34" t="n">
        <x:v>74</x:v>
      </x:c>
      <x:c r="L42" s="30" t="str"/>
      <x:c r="M42" s="30" t="str">
        <x:v>Public</x:v>
      </x:c>
      <x:c r="N42" s="30" t="str">
        <x:v>High</x:v>
      </x:c>
      <x:c r="O42" s="30" t="str">
        <x:v>Exact village</x:v>
      </x:c>
      <x:c r="P42" s="30" t="str">
        <x:v>Current local-business listing</x:v>
      </x:c>
      <x:c r="Q42" s="30" t="str">
        <x:v>https://www.google.com/maps/search/?api=1&amp;query=Martyrs+Public+Park%2C+Jarjouaa%2C+Lebanon</x:v>
      </x:c>
      <x:c r="R42" s="30" t="str">
        <x:v>https://www.google.com/maps/search/?api=1&amp;query=Martyrs+Public+Park%2C+Jarjouh+%2F+Jargea%2C+Lebanon</x:v>
      </x:c>
      <x:c r="S42" s="30" t="str"/>
      <x:c r="T42" s="30" t="str">
        <x:v>2026-09-07</x:v>
      </x:c>
    </x:row>
    <x:row r="43">
      <x:c r="A43" s="30" t="n">
        <x:v>42</x:v>
      </x:c>
      <x:c r="B43" s="30" t="str">
        <x:v>Jarjouh / Jargea</x:v>
      </x:c>
      <x:c r="C43" s="30" t="str">
        <x:v>Jarjouaa hiking trails</x:v>
      </x:c>
      <x:c r="D43" s="30" t="str">
        <x:v>Hiking / Nature</x:v>
      </x:c>
      <x:c r="E43" s="30" t="str">
        <x:v>Nature / Hiking</x:v>
      </x:c>
      <x:c r="F43" s="30" t="str">
        <x:v>Current trail evidence</x:v>
      </x:c>
      <x:c r="G43" s="30" t="str">
        <x:v>Hiking routes around Jarjouaa, Wadi Akhdar and toward Arab Salim.</x:v>
      </x:c>
      <x:c r="H43" s="30" t="str">
        <x:v>Jarjouaa</x:v>
      </x:c>
      <x:c r="I43" s="30" t="str"/>
      <x:c r="J43" s="32"/>
      <x:c r="K43" s="34"/>
      <x:c r="L43" s="30" t="str"/>
      <x:c r="M43" s="30" t="str">
        <x:v>Outdoor / route-dependent</x:v>
      </x:c>
      <x:c r="N43" s="30" t="str">
        <x:v>Medium</x:v>
      </x:c>
      <x:c r="O43" s="30" t="str">
        <x:v>Exact village / route</x:v>
      </x:c>
      <x:c r="P43" s="30" t="str">
        <x:v>Wikiloc current trail directory</x:v>
      </x:c>
      <x:c r="Q43" s="30" t="str">
        <x:v>https://www.wikiloc.com/trails/hiking/lebanon/nabatiye/jarjouaa</x:v>
      </x:c>
      <x:c r="R43" s="30" t="str">
        <x:v>https://www.google.com/maps/search/?api=1&amp;query=Jarjouaa+hiking+trails%2C+Jarjouh+%2F+Jargea%2C+Lebanon</x:v>
      </x:c>
      <x:c r="S43" s="30" t="str"/>
      <x:c r="T43" s="30" t="str">
        <x:v>2026-09-07</x:v>
      </x:c>
    </x:row>
    <x:row r="44">
      <x:c r="A44" s="30" t="n">
        <x:v>43</x:v>
      </x:c>
      <x:c r="B44" s="30" t="str">
        <x:v>Jarjouh / Jargea</x:v>
      </x:c>
      <x:c r="C44" s="30" t="str">
        <x:v>Jarjouaa heritage walk</x:v>
      </x:c>
      <x:c r="D44" s="30" t="str">
        <x:v>Heritage / Village Walk</x:v>
      </x:c>
      <x:c r="E44" s="30" t="str">
        <x:v>Heritage / Culture</x:v>
      </x:c>
      <x:c r="F44" s="30" t="str">
        <x:v>Timeless / verify access</x:v>
      </x:c>
      <x:c r="G44" s="30" t="str">
        <x:v>Explore heritage houses, an old press, historic religious buildings, old mills and Al-Chir heritage area.</x:v>
      </x:c>
      <x:c r="H44" s="30" t="str">
        <x:v>Jarjouaa</x:v>
      </x:c>
      <x:c r="I44" s="30" t="str"/>
      <x:c r="J44" s="32"/>
      <x:c r="K44" s="34"/>
      <x:c r="L44" s="30" t="str"/>
      <x:c r="M44" s="30" t="str">
        <x:v>Access unknown</x:v>
      </x:c>
      <x:c r="N44" s="30" t="str">
        <x:v>Medium</x:v>
      </x:c>
      <x:c r="O44" s="30" t="str">
        <x:v>Exact village</x:v>
      </x:c>
      <x:c r="P44" s="30" t="str">
        <x:v>Destination Lebanon Nabatieh guide</x:v>
      </x:c>
      <x:c r="Q44" s="30" t="str">
        <x:v>https://www.destinationlebanon.com/download-sub/destleb/nabatieh.pdf</x:v>
      </x:c>
      <x:c r="R44" s="30" t="str">
        <x:v>https://www.google.com/maps/search/?api=1&amp;query=Jarjouaa+heritage+walk%2C+Jarjouh+%2F+Jargea%2C+Lebanon</x:v>
      </x:c>
      <x:c r="S44" s="30" t="str"/>
      <x:c r="T44" s="30" t="str">
        <x:v>2026-09-07</x:v>
      </x:c>
    </x:row>
    <x:row r="45">
      <x:c r="A45" s="30" t="n">
        <x:v>44</x:v>
      </x:c>
      <x:c r="B45" s="30" t="str">
        <x:v>Jarjouh / Jargea</x:v>
      </x:c>
      <x:c r="C45" s="30" t="str">
        <x:v>Jarjouaa springs &amp; vineyards</x:v>
      </x:c>
      <x:c r="D45" s="30" t="str">
        <x:v>Nature / Springs</x:v>
      </x:c>
      <x:c r="E45" s="30" t="str">
        <x:v>Nature / Hiking</x:v>
      </x:c>
      <x:c r="F45" s="30" t="str">
        <x:v>Timeless / verify access</x:v>
      </x:c>
      <x:c r="G45" s="30" t="str">
        <x:v>Visit local natural features including Ain Al-Tineh, Al-Tasseh Spring, Oum Younes Ain and Roueiss vineyards.</x:v>
      </x:c>
      <x:c r="H45" s="30" t="str">
        <x:v>Jarjouaa</x:v>
      </x:c>
      <x:c r="I45" s="30" t="str"/>
      <x:c r="J45" s="32"/>
      <x:c r="K45" s="34"/>
      <x:c r="L45" s="30" t="str"/>
      <x:c r="M45" s="30" t="str">
        <x:v>Access unknown</x:v>
      </x:c>
      <x:c r="N45" s="30" t="str">
        <x:v>Medium</x:v>
      </x:c>
      <x:c r="O45" s="30" t="str">
        <x:v>Exact village</x:v>
      </x:c>
      <x:c r="P45" s="30" t="str">
        <x:v>Destination Lebanon Nabatieh guide</x:v>
      </x:c>
      <x:c r="Q45" s="30" t="str">
        <x:v>https://www.destinationlebanon.com/download-sub/destleb/nabatieh.pdf</x:v>
      </x:c>
      <x:c r="R45" s="30" t="str">
        <x:v>https://www.google.com/maps/search/?api=1&amp;query=Jarjouaa+springs+%26+vineyards%2C+Jarjouh+%2F+Jargea%2C+Lebanon</x:v>
      </x:c>
      <x:c r="S45" s="30" t="str"/>
      <x:c r="T45" s="30" t="str">
        <x:v>2026-09-07</x:v>
      </x:c>
    </x:row>
    <x:row r="46">
      <x:c r="A46" s="30" t="n">
        <x:v>45</x:v>
      </x:c>
      <x:c r="B46" s="30" t="str">
        <x:v>Jbaa–Ain Bouswar</x:v>
      </x:c>
      <x:c r="C46" s="30" t="str">
        <x:v>Jbaa hiking trails</x:v>
      </x:c>
      <x:c r="D46" s="30" t="str">
        <x:v>Hiking / Nature</x:v>
      </x:c>
      <x:c r="E46" s="30" t="str">
        <x:v>Nature / Hiking</x:v>
      </x:c>
      <x:c r="F46" s="30" t="str">
        <x:v>Current trail evidence</x:v>
      </x:c>
      <x:c r="G46" s="30" t="str">
        <x:v>Hike routes around Jbaa Nabatieh, including longer mountain and woodland walks.</x:v>
      </x:c>
      <x:c r="H46" s="30" t="str">
        <x:v>Jbaa, Nabatieh</x:v>
      </x:c>
      <x:c r="I46" s="30" t="str"/>
      <x:c r="J46" s="32"/>
      <x:c r="K46" s="34"/>
      <x:c r="L46" s="30" t="str"/>
      <x:c r="M46" s="30" t="str">
        <x:v>Outdoor / route-dependent</x:v>
      </x:c>
      <x:c r="N46" s="30" t="str">
        <x:v>Medium</x:v>
      </x:c>
      <x:c r="O46" s="30" t="str">
        <x:v>Correct Jbaa in Nabatieh</x:v>
      </x:c>
      <x:c r="P46" s="30" t="str">
        <x:v>Wikiloc Jbaa Nabatieh trail directory</x:v>
      </x:c>
      <x:c r="Q46" s="30" t="str">
        <x:v>https://www.wikiloc.com/trails/hiking/lebanon/nabatiye/jbaa</x:v>
      </x:c>
      <x:c r="R46" s="30" t="str">
        <x:v>https://www.google.com/maps/search/?api=1&amp;query=Jbaa+hiking+trails%2C+Jbaa%E2%80%93Ain+Bouswar%2C+Lebanon</x:v>
      </x:c>
      <x:c r="S46" s="30" t="str">
        <x:v>Different from Jbaa Al-Shouf; Shouf sources were excluded.</x:v>
      </x:c>
      <x:c r="T46" s="30" t="str">
        <x:v>2026-09-07</x:v>
      </x:c>
    </x:row>
    <x:row r="47">
      <x:c r="A47" s="30" t="n">
        <x:v>46</x:v>
      </x:c>
      <x:c r="B47" s="30" t="str">
        <x:v>Jbaa–Ain Bouswar</x:v>
      </x:c>
      <x:c r="C47" s="30" t="str">
        <x:v>Jbaa heritage sites</x:v>
      </x:c>
      <x:c r="D47" s="30" t="str">
        <x:v>Heritage / Archaeology</x:v>
      </x:c>
      <x:c r="E47" s="30" t="str">
        <x:v>Heritage / Culture</x:v>
      </x:c>
      <x:c r="F47" s="30" t="str">
        <x:v>Timeless / verify access</x:v>
      </x:c>
      <x:c r="G47" s="30" t="str">
        <x:v>Explore documented Roman cemeteries, old mills, arcades, an ancient church and heritage houses.</x:v>
      </x:c>
      <x:c r="H47" s="30" t="str">
        <x:v>Jbaa, Nabatieh</x:v>
      </x:c>
      <x:c r="I47" s="30" t="str"/>
      <x:c r="J47" s="32"/>
      <x:c r="K47" s="34"/>
      <x:c r="L47" s="30" t="str"/>
      <x:c r="M47" s="30" t="str">
        <x:v>Access unknown</x:v>
      </x:c>
      <x:c r="N47" s="30" t="str">
        <x:v>Medium</x:v>
      </x:c>
      <x:c r="O47" s="30" t="str">
        <x:v>Exact locality</x:v>
      </x:c>
      <x:c r="P47" s="30" t="str">
        <x:v>Destination Lebanon Nabatieh guide</x:v>
      </x:c>
      <x:c r="Q47" s="30" t="str">
        <x:v>https://www.destinationlebanon.com/download-sub/destleb/nabatieh.pdf</x:v>
      </x:c>
      <x:c r="R47" s="30" t="str">
        <x:v>https://www.google.com/maps/search/?api=1&amp;query=Jbaa+heritage+sites%2C+Jbaa%E2%80%93Ain+Bouswar%2C+Lebanon</x:v>
      </x:c>
      <x:c r="S47" s="30" t="str"/>
      <x:c r="T47" s="30" t="str">
        <x:v>2026-09-07</x:v>
      </x:c>
    </x:row>
    <x:row r="48">
      <x:c r="A48" s="30" t="n">
        <x:v>47</x:v>
      </x:c>
      <x:c r="B48" s="30" t="str">
        <x:v>Jbaa–Ain Bouswar</x:v>
      </x:c>
      <x:c r="C48" s="30" t="str">
        <x:v>Jbaa springs, woods &amp; river</x:v>
      </x:c>
      <x:c r="D48" s="30" t="str">
        <x:v>Nature / Hiking</x:v>
      </x:c>
      <x:c r="E48" s="30" t="str">
        <x:v>Nature / Hiking</x:v>
      </x:c>
      <x:c r="F48" s="30" t="str">
        <x:v>Timeless / verify access</x:v>
      </x:c>
      <x:c r="G48" s="30" t="str">
        <x:v>Nature visit around Ain Al-Saltaoun, Al-Marjeh Spring, Al-Jlikheh Spring, pine/oak woods and Al-Jlikheh River.</x:v>
      </x:c>
      <x:c r="H48" s="30" t="str">
        <x:v>Jbaa, Nabatieh</x:v>
      </x:c>
      <x:c r="I48" s="30" t="str"/>
      <x:c r="J48" s="32"/>
      <x:c r="K48" s="34"/>
      <x:c r="L48" s="30" t="str"/>
      <x:c r="M48" s="30" t="str">
        <x:v>Access unknown</x:v>
      </x:c>
      <x:c r="N48" s="30" t="str">
        <x:v>Medium</x:v>
      </x:c>
      <x:c r="O48" s="30" t="str">
        <x:v>Exact locality</x:v>
      </x:c>
      <x:c r="P48" s="30" t="str">
        <x:v>Destination Lebanon Nabatieh guide</x:v>
      </x:c>
      <x:c r="Q48" s="30" t="str">
        <x:v>https://www.destinationlebanon.com/download-sub/destleb/nabatieh.pdf</x:v>
      </x:c>
      <x:c r="R48" s="30" t="str">
        <x:v>https://www.google.com/maps/search/?api=1&amp;query=Jbaa+springs%2C+woods+%26+river%2C+Jbaa%E2%80%93Ain+Bouswar%2C+Lebanon</x:v>
      </x:c>
      <x:c r="S48" s="30" t="str"/>
      <x:c r="T48" s="30" t="str">
        <x:v>2026-09-07</x:v>
      </x:c>
    </x:row>
    <x:row r="49">
      <x:c r="A49" s="30" t="n">
        <x:v>48</x:v>
      </x:c>
      <x:c r="B49" s="30" t="str">
        <x:v>Jbaa–Ain Bouswar</x:v>
      </x:c>
      <x:c r="C49" s="30" t="str">
        <x:v>Ain Bouswar springs circuit</x:v>
      </x:c>
      <x:c r="D49" s="30" t="str">
        <x:v>Nature / Springs</x:v>
      </x:c>
      <x:c r="E49" s="30" t="str">
        <x:v>Nature / Hiking</x:v>
      </x:c>
      <x:c r="F49" s="30" t="str">
        <x:v>Timeless / verify access</x:v>
      </x:c>
      <x:c r="G49" s="30" t="str">
        <x:v>Explore local springs/water points such as Ain Mizrab Al-Assal, Ain Aqit, Barbara Spring, Ain Al-Boustan and Ain Douwara.</x:v>
      </x:c>
      <x:c r="H49" s="30" t="str">
        <x:v>Ain Bouswar</x:v>
      </x:c>
      <x:c r="I49" s="30" t="str"/>
      <x:c r="J49" s="32"/>
      <x:c r="K49" s="34"/>
      <x:c r="L49" s="30" t="str"/>
      <x:c r="M49" s="30" t="str">
        <x:v>Access unknown</x:v>
      </x:c>
      <x:c r="N49" s="30" t="str">
        <x:v>Medium</x:v>
      </x:c>
      <x:c r="O49" s="30" t="str">
        <x:v>Exact locality</x:v>
      </x:c>
      <x:c r="P49" s="30" t="str">
        <x:v>Destination Lebanon Nabatieh guide</x:v>
      </x:c>
      <x:c r="Q49" s="30" t="str">
        <x:v>https://www.destinationlebanon.com/download-sub/destleb/nabatieh.pdf</x:v>
      </x:c>
      <x:c r="R49" s="30" t="str">
        <x:v>https://www.google.com/maps/search/?api=1&amp;query=Ain+Bouswar+springs+circuit%2C+Jbaa%E2%80%93Ain+Bouswar%2C+Lebanon</x:v>
      </x:c>
      <x:c r="S49" s="30" t="str"/>
      <x:c r="T49" s="30" t="str">
        <x:v>2026-09-07</x:v>
      </x:c>
    </x:row>
    <x:row r="50">
      <x:c r="A50" s="30" t="n">
        <x:v>49</x:v>
      </x:c>
      <x:c r="B50" s="30" t="str">
        <x:v>Jbaa–Ain Bouswar</x:v>
      </x:c>
      <x:c r="C50" s="30" t="str">
        <x:v>Ain Bouswar oak &amp; egilops woods</x:v>
      </x:c>
      <x:c r="D50" s="30" t="str">
        <x:v>Nature / Woodland</x:v>
      </x:c>
      <x:c r="E50" s="30" t="str">
        <x:v>Nature / Hiking</x:v>
      </x:c>
      <x:c r="F50" s="30" t="str">
        <x:v>Timeless / verify access</x:v>
      </x:c>
      <x:c r="G50" s="30" t="str">
        <x:v>Woodland walk and nature exploration.</x:v>
      </x:c>
      <x:c r="H50" s="30" t="str">
        <x:v>Ain Bouswar</x:v>
      </x:c>
      <x:c r="I50" s="30" t="str"/>
      <x:c r="J50" s="32"/>
      <x:c r="K50" s="34"/>
      <x:c r="L50" s="30" t="str"/>
      <x:c r="M50" s="30" t="str">
        <x:v>Access unknown</x:v>
      </x:c>
      <x:c r="N50" s="30" t="str">
        <x:v>Medium</x:v>
      </x:c>
      <x:c r="O50" s="30" t="str">
        <x:v>Exact locality</x:v>
      </x:c>
      <x:c r="P50" s="30" t="str">
        <x:v>Destination Lebanon Nabatieh guide</x:v>
      </x:c>
      <x:c r="Q50" s="30" t="str">
        <x:v>https://www.destinationlebanon.com/download-sub/destleb/nabatieh.pdf</x:v>
      </x:c>
      <x:c r="R50" s="30" t="str">
        <x:v>https://www.google.com/maps/search/?api=1&amp;query=Ain+Bouswar+oak+%26+egilops+woods%2C+Jbaa%E2%80%93Ain+Bouswar%2C+Lebanon</x:v>
      </x:c>
      <x:c r="S50" s="30" t="str"/>
      <x:c r="T50" s="30" t="str">
        <x:v>2026-09-07</x:v>
      </x:c>
    </x:row>
    <x:row r="51">
      <x:c r="A51" s="30" t="n">
        <x:v>50</x:v>
      </x:c>
      <x:c r="B51" s="30" t="str">
        <x:v>Jibchit</x:v>
      </x:c>
      <x:c r="C51" s="30" t="str">
        <x:v>Jibchit Public Garden project</x:v>
      </x:c>
      <x:c r="D51" s="30" t="str">
        <x:v>Park / Family</x:v>
      </x:c>
      <x:c r="E51" s="30" t="str">
        <x:v>Parks / Family</x:v>
      </x:c>
      <x:c r="F51" s="30" t="str">
        <x:v>Project - verify completion</x:v>
      </x:c>
      <x:c r="G51" s="30" t="str">
        <x:v>Planned public garden with family zone, children's zone, natural tracks/paths, benches and landscaping.</x:v>
      </x:c>
      <x:c r="H51" s="30" t="str">
        <x:v>Municipal land, Jibchit</x:v>
      </x:c>
      <x:c r="I51" s="30" t="str"/>
      <x:c r="J51" s="32"/>
      <x:c r="K51" s="34"/>
      <x:c r="L51" s="30" t="str"/>
      <x:c r="M51" s="30" t="str">
        <x:v>Planned public facility</x:v>
      </x:c>
      <x:c r="N51" s="30" t="str">
        <x:v>High</x:v>
      </x:c>
      <x:c r="O51" s="30" t="str">
        <x:v>Exact village</x:v>
      </x:c>
      <x:c r="P51" s="30" t="str">
        <x:v>UNDP procurement/project documentation</x:v>
      </x:c>
      <x:c r="Q51" s="30" t="str">
        <x:v>https://procurement-notices.undp.org/view_file.cfm?doc_id=171843</x:v>
      </x:c>
      <x:c r="R51" s="30" t="str">
        <x:v>https://www.google.com/maps/search/?api=1&amp;query=Jibchit+Public+Garden+project%2C+Jibchit%2C+Lebanon</x:v>
      </x:c>
      <x:c r="S51" s="30" t="str">
        <x:v>The project is well documented; final completion/opening should be checked before a visit.</x:v>
      </x:c>
      <x:c r="T51" s="30" t="str">
        <x:v>2026-09-07</x:v>
      </x:c>
    </x:row>
    <x:row r="52">
      <x:c r="A52" s="30" t="n">
        <x:v>51</x:v>
      </x:c>
      <x:c r="B52" s="30" t="str">
        <x:v>Kaakaiyet Al-Jisr</x:v>
      </x:c>
      <x:c r="C52" s="30" t="str">
        <x:v>Blooms Chalet</x:v>
      </x:c>
      <x:c r="D52" s="30" t="str">
        <x:v>Pool / Leisure</x:v>
      </x:c>
      <x:c r="E52" s="30" t="str">
        <x:v>Resorts / Pools</x:v>
      </x:c>
      <x:c r="F52" s="30" t="str">
        <x:v>Active - verified</x:v>
      </x:c>
      <x:c r="G52" s="30" t="str">
        <x:v>Public swimming-pool / chalet leisure.</x:v>
      </x:c>
      <x:c r="H52" s="30" t="str">
        <x:v>River Road, Qaaqaaiyet El Jisr</x:v>
      </x:c>
      <x:c r="I52" s="30" t="str">
        <x:v>+961 78 988 362</x:v>
      </x:c>
      <x:c r="J52" s="32"/>
      <x:c r="K52" s="34"/>
      <x:c r="L52" s="30" t="str">
        <x:v>06:00–04:00 daily</x:v>
      </x:c>
      <x:c r="M52" s="30" t="str">
        <x:v>Commercial</x:v>
      </x:c>
      <x:c r="N52" s="30" t="str">
        <x:v>High</x:v>
      </x:c>
      <x:c r="O52" s="30" t="str">
        <x:v>Exact village</x:v>
      </x:c>
      <x:c r="P52" s="30" t="str">
        <x:v>Current local-business listing</x:v>
      </x:c>
      <x:c r="Q52" s="30" t="str">
        <x:v>https://www.google.com/maps/search/?api=1&amp;query=Blooms+Chalet%2C+Qaaqaaiyet+El+Jisr%2C+Lebanon</x:v>
      </x:c>
      <x:c r="R52" s="30" t="str">
        <x:v>https://www.google.com/maps/search/?api=1&amp;query=Blooms+Chalet%2C+Kaakaiyet+Al-Jisr%2C+Lebanon</x:v>
      </x:c>
      <x:c r="S52" s="30" t="str"/>
      <x:c r="T52" s="30" t="str">
        <x:v>2026-09-07</x:v>
      </x:c>
    </x:row>
    <x:row r="53">
      <x:c r="A53" s="30" t="n">
        <x:v>52</x:v>
      </x:c>
      <x:c r="B53" s="30" t="str">
        <x:v>Kaakaiyet Al-Jisr</x:v>
      </x:c>
      <x:c r="C53" s="30" t="str">
        <x:v>Mai w Fai</x:v>
      </x:c>
      <x:c r="D53" s="30" t="str">
        <x:v>Resort / Pool / Family</x:v>
      </x:c>
      <x:c r="E53" s="30" t="str">
        <x:v>Parks / Family</x:v>
      </x:c>
      <x:c r="F53" s="30" t="str">
        <x:v>Permanently closed</x:v>
      </x:c>
      <x:c r="G53" s="30" t="str">
        <x:v>Historically offered a restaurant, swimming pool and children's area near the Litani River.</x:v>
      </x:c>
      <x:c r="H53" s="30" t="str">
        <x:v>8C5J+V64, Qaaqaaiyet El Jisr</x:v>
      </x:c>
      <x:c r="I53" s="30" t="str">
        <x:v>+961 3 128 075</x:v>
      </x:c>
      <x:c r="J53" s="32" t="n">
        <x:v>4.5</x:v>
      </x:c>
      <x:c r="K53" s="34" t="n">
        <x:v>24</x:v>
      </x:c>
      <x:c r="L53" s="30" t="str"/>
      <x:c r="M53" s="30" t="str">
        <x:v>Closed</x:v>
      </x:c>
      <x:c r="N53" s="30" t="str">
        <x:v>High</x:v>
      </x:c>
      <x:c r="O53" s="30" t="str">
        <x:v>Exact village</x:v>
      </x:c>
      <x:c r="P53" s="30" t="str">
        <x:v>Current local-business status + BizMidEast</x:v>
      </x:c>
      <x:c r="Q53" s="30" t="str">
        <x:v>https://www.bizmideast.com/LB/mai-w-fai-03-128-075</x:v>
      </x:c>
      <x:c r="R53" s="30" t="str">
        <x:v>https://www.google.com/maps/search/?api=1&amp;query=Mai+w+Fai%2C+Kaakaiyet+Al-Jisr%2C+Lebanon</x:v>
      </x:c>
      <x:c r="S53" s="30" t="str"/>
      <x:c r="T53" s="30" t="str">
        <x:v>2026-09-07</x:v>
      </x:c>
    </x:row>
    <x:row r="54">
      <x:c r="A54" s="30" t="n">
        <x:v>53</x:v>
      </x:c>
      <x:c r="B54" s="30" t="str">
        <x:v>Kafr Fila</x:v>
      </x:c>
      <x:c r="C54" s="30" t="str">
        <x:v>Kfar Fila archaeological walk</x:v>
      </x:c>
      <x:c r="D54" s="30" t="str">
        <x:v>Heritage / Archaeology</x:v>
      </x:c>
      <x:c r="E54" s="30" t="str">
        <x:v>Heritage / Culture</x:v>
      </x:c>
      <x:c r="F54" s="30" t="str">
        <x:v>Timeless / verify access</x:v>
      </x:c>
      <x:c r="G54" s="30" t="str">
        <x:v>Explore documented caves/cemeteries, Al-Saha Mosque's old arch, old mills, sarcophagi and heritage houses.</x:v>
      </x:c>
      <x:c r="H54" s="30" t="str">
        <x:v>Kfar Fila</x:v>
      </x:c>
      <x:c r="I54" s="30" t="str"/>
      <x:c r="J54" s="32"/>
      <x:c r="K54" s="34"/>
      <x:c r="L54" s="30" t="str"/>
      <x:c r="M54" s="30" t="str">
        <x:v>Access unknown</x:v>
      </x:c>
      <x:c r="N54" s="30" t="str">
        <x:v>Medium</x:v>
      </x:c>
      <x:c r="O54" s="30" t="str">
        <x:v>Exact village</x:v>
      </x:c>
      <x:c r="P54" s="30" t="str">
        <x:v>Destination Lebanon Nabatieh guide</x:v>
      </x:c>
      <x:c r="Q54" s="30" t="str">
        <x:v>https://www.destinationlebanon.com/download-sub/destleb/nabatieh.pdf</x:v>
      </x:c>
      <x:c r="R54" s="30" t="str">
        <x:v>https://www.google.com/maps/search/?api=1&amp;query=Kfar+Fila+archaeological+walk%2C+Kafr+Fila%2C+Lebanon</x:v>
      </x:c>
      <x:c r="S54" s="30" t="str"/>
      <x:c r="T54" s="30" t="str">
        <x:v>2026-09-07</x:v>
      </x:c>
    </x:row>
    <x:row r="55">
      <x:c r="A55" s="30" t="n">
        <x:v>54</x:v>
      </x:c>
      <x:c r="B55" s="30" t="str">
        <x:v>Kafr Fila</x:v>
      </x:c>
      <x:c r="C55" s="30" t="str">
        <x:v>Kfar Fila springs &amp; caves</x:v>
      </x:c>
      <x:c r="D55" s="30" t="str">
        <x:v>Nature / Exploration</x:v>
      </x:c>
      <x:c r="E55" s="30" t="str">
        <x:v>Nature / Hiking</x:v>
      </x:c>
      <x:c r="F55" s="30" t="str">
        <x:v>Timeless / verify access</x:v>
      </x:c>
      <x:c r="G55" s="30" t="str">
        <x:v>Nature exploration around Ain Ibn Akel, Ain Hawila, Saoudniyya Well and local caves.</x:v>
      </x:c>
      <x:c r="H55" s="30" t="str">
        <x:v>Kfar Fila</x:v>
      </x:c>
      <x:c r="I55" s="30" t="str"/>
      <x:c r="J55" s="32"/>
      <x:c r="K55" s="34"/>
      <x:c r="L55" s="30" t="str"/>
      <x:c r="M55" s="30" t="str">
        <x:v>Access unknown</x:v>
      </x:c>
      <x:c r="N55" s="30" t="str">
        <x:v>Medium</x:v>
      </x:c>
      <x:c r="O55" s="30" t="str">
        <x:v>Exact village</x:v>
      </x:c>
      <x:c r="P55" s="30" t="str">
        <x:v>Destination Lebanon Nabatieh guide</x:v>
      </x:c>
      <x:c r="Q55" s="30" t="str">
        <x:v>https://www.destinationlebanon.com/download-sub/destleb/nabatieh.pdf</x:v>
      </x:c>
      <x:c r="R55" s="30" t="str">
        <x:v>https://www.google.com/maps/search/?api=1&amp;query=Kfar+Fila+springs+%26+caves%2C+Kafr+Fila%2C+Lebanon</x:v>
      </x:c>
      <x:c r="S55" s="30" t="str"/>
      <x:c r="T55" s="30" t="str">
        <x:v>2026-09-07</x:v>
      </x:c>
    </x:row>
    <x:row r="56">
      <x:c r="A56" s="30" t="n">
        <x:v>55</x:v>
      </x:c>
      <x:c r="B56" s="30" t="str">
        <x:v>Kafr Roummane</x:v>
      </x:c>
      <x:c r="C56" s="30" t="str">
        <x:v>Sportsandfitnessacademy</x:v>
      </x:c>
      <x:c r="D56" s="30" t="str">
        <x:v>Sports / Fitness</x:v>
      </x:c>
      <x:c r="E56" s="30" t="str">
        <x:v>Sports / Fitness</x:v>
      </x:c>
      <x:c r="F56" s="30" t="str">
        <x:v>Active - verified</x:v>
      </x:c>
      <x:c r="G56" s="30" t="str">
        <x:v>Sports club / fitness activities.</x:v>
      </x:c>
      <x:c r="H56" s="30" t="str">
        <x:v>9FQR+JGQ, Kfar Roummane</x:v>
      </x:c>
      <x:c r="I56" s="30" t="str">
        <x:v>+961 70 189 784</x:v>
      </x:c>
      <x:c r="J56" s="32"/>
      <x:c r="K56" s="34"/>
      <x:c r="L56" s="30" t="str">
        <x:v>Mon–Sat 09:30–20:30</x:v>
      </x:c>
      <x:c r="M56" s="30" t="str">
        <x:v>Commercial</x:v>
      </x:c>
      <x:c r="N56" s="30" t="str">
        <x:v>High</x:v>
      </x:c>
      <x:c r="O56" s="30" t="str">
        <x:v>Exact village</x:v>
      </x:c>
      <x:c r="P56" s="30" t="str">
        <x:v>Current local-business listing</x:v>
      </x:c>
      <x:c r="Q56" s="30" t="str">
        <x:v>https://www.google.com/maps/search/?api=1&amp;query=Sportsandfitnessacademy%2C+Kfar+Roummane%2C+Lebanon</x:v>
      </x:c>
      <x:c r="R56" s="30" t="str">
        <x:v>https://www.google.com/maps/search/?api=1&amp;query=Sportsandfitnessacademy%2C+Kafr+Roummane%2C+Lebanon</x:v>
      </x:c>
      <x:c r="S56" s="30" t="str"/>
      <x:c r="T56" s="30" t="str">
        <x:v>2026-09-07</x:v>
      </x:c>
    </x:row>
    <x:row r="57">
      <x:c r="A57" s="30" t="n">
        <x:v>56</x:v>
      </x:c>
      <x:c r="B57" s="30" t="str">
        <x:v>Kafr Sir</x:v>
      </x:c>
      <x:c r="C57" s="30" t="str">
        <x:v>Jradi Resort</x:v>
      </x:c>
      <x:c r="D57" s="30" t="str">
        <x:v>Resort / Leisure</x:v>
      </x:c>
      <x:c r="E57" s="30" t="str">
        <x:v>Resorts / Pools</x:v>
      </x:c>
      <x:c r="F57" s="30" t="str">
        <x:v>Active - verified</x:v>
      </x:c>
      <x:c r="G57" s="30" t="str">
        <x:v>Resort leisure / stay; verify day-use facilities directly with the venue.</x:v>
      </x:c>
      <x:c r="H57" s="30" t="str">
        <x:v>8CG2+282, Kfar Sir</x:v>
      </x:c>
      <x:c r="I57" s="30" t="str">
        <x:v>+961 3 840 198</x:v>
      </x:c>
      <x:c r="J57" s="32" t="n">
        <x:v>4.3</x:v>
      </x:c>
      <x:c r="K57" s="34" t="n">
        <x:v>333</x:v>
      </x:c>
      <x:c r="L57" s="30" t="str"/>
      <x:c r="M57" s="30" t="str">
        <x:v>Commercial</x:v>
      </x:c>
      <x:c r="N57" s="30" t="str">
        <x:v>High</x:v>
      </x:c>
      <x:c r="O57" s="30" t="str">
        <x:v>Exact village</x:v>
      </x:c>
      <x:c r="P57" s="30" t="str">
        <x:v>Current local-business listing</x:v>
      </x:c>
      <x:c r="Q57" s="30" t="str">
        <x:v>https://www.google.com/maps/search/?api=1&amp;query=Jradi+Resort%2C+Kfar+Sir%2C+Lebanon</x:v>
      </x:c>
      <x:c r="R57" s="30" t="str">
        <x:v>https://www.google.com/maps/search/?api=1&amp;query=Jradi+Resort%2C+Kafr+Sir%2C+Lebanon</x:v>
      </x:c>
      <x:c r="S57" s="30" t="str"/>
      <x:c r="T57" s="30" t="str">
        <x:v>2026-09-07</x:v>
      </x:c>
    </x:row>
    <x:row r="58">
      <x:c r="A58" s="30" t="n">
        <x:v>57</x:v>
      </x:c>
      <x:c r="B58" s="30" t="str">
        <x:v>Kafr Sir</x:v>
      </x:c>
      <x:c r="C58" s="30" t="str">
        <x:v>WoodHouse Luxury Chalets</x:v>
      </x:c>
      <x:c r="D58" s="30" t="str">
        <x:v>Chalets / Resort</x:v>
      </x:c>
      <x:c r="E58" s="30" t="str">
        <x:v>Resorts / Pools</x:v>
      </x:c>
      <x:c r="F58" s="30" t="str">
        <x:v>Active - verified</x:v>
      </x:c>
      <x:c r="G58" s="30" t="str">
        <x:v>Chalet stay and leisure in Kfar Sir.</x:v>
      </x:c>
      <x:c r="H58" s="30" t="str">
        <x:v>Abou Ghabra, Kfar Sir</x:v>
      </x:c>
      <x:c r="I58" s="30" t="str">
        <x:v>+961 78 929 087</x:v>
      </x:c>
      <x:c r="J58" s="32" t="n">
        <x:v>4.9</x:v>
      </x:c>
      <x:c r="K58" s="34" t="n">
        <x:v>7</x:v>
      </x:c>
      <x:c r="L58" s="30" t="str"/>
      <x:c r="M58" s="30" t="str">
        <x:v>Commercial / guest-focused</x:v>
      </x:c>
      <x:c r="N58" s="30" t="str">
        <x:v>High</x:v>
      </x:c>
      <x:c r="O58" s="30" t="str">
        <x:v>Exact village</x:v>
      </x:c>
      <x:c r="P58" s="30" t="str">
        <x:v>Current local-business listing</x:v>
      </x:c>
      <x:c r="Q58" s="30" t="str">
        <x:v>https://www.google.com/maps/search/?api=1&amp;query=WoodHouse+Luxury+Chalets%2C+Kfar+Sir%2C+Lebanon</x:v>
      </x:c>
      <x:c r="R58" s="30" t="str">
        <x:v>https://www.google.com/maps/search/?api=1&amp;query=WoodHouse+Luxury+Chalets%2C+Kafr+Sir%2C+Lebanon</x:v>
      </x:c>
      <x:c r="S58" s="30" t="str"/>
      <x:c r="T58" s="30" t="str">
        <x:v>2026-09-07</x:v>
      </x:c>
    </x:row>
    <x:row r="59">
      <x:c r="A59" s="30" t="n">
        <x:v>58</x:v>
      </x:c>
      <x:c r="B59" s="30" t="str">
        <x:v>Kafr Tibnit</x:v>
      </x:c>
      <x:c r="C59" s="30" t="str">
        <x:v>Kfar Tebnit Lake / بركة كفرتبنيت</x:v>
      </x:c>
      <x:c r="D59" s="30" t="str">
        <x:v>Nature / Lake / Park</x:v>
      </x:c>
      <x:c r="E59" s="30" t="str">
        <x:v>Nature / Hiking</x:v>
      </x:c>
      <x:c r="F59" s="30" t="str">
        <x:v>Current directory listing</x:v>
      </x:c>
      <x:c r="G59" s="30" t="str">
        <x:v>Outdoor lake/park visit and scenery.</x:v>
      </x:c>
      <x:c r="H59" s="30" t="str">
        <x:v>Kfar Tebnit</x:v>
      </x:c>
      <x:c r="I59" s="30" t="str"/>
      <x:c r="J59" s="32" t="n">
        <x:v>4.2</x:v>
      </x:c>
      <x:c r="K59" s="34" t="n">
        <x:v>32</x:v>
      </x:c>
      <x:c r="L59" s="30" t="str"/>
      <x:c r="M59" s="30" t="str">
        <x:v>Public access to verify</x:v>
      </x:c>
      <x:c r="N59" s="30" t="str">
        <x:v>Medium</x:v>
      </x:c>
      <x:c r="O59" s="30" t="str">
        <x:v>Village match from current directory</x:v>
      </x:c>
      <x:c r="P59" s="30" t="str">
        <x:v>Current park directory</x:v>
      </x:c>
      <x:c r="Q59" s="30" t="str">
        <x:v>https://www.top-rated.online/countries/Lebanon/cities/Aadchit%2BEl%2BChqif/@park/top-rated</x:v>
      </x:c>
      <x:c r="R59" s="30" t="str">
        <x:v>https://www.google.com/maps/search/?api=1&amp;query=Kfar+Tebnit+Lake+%2F+%D8%A8%D8%B1%D9%83%D8%A9+%D9%83%D9%81%D8%B1%D8%AA%D8%A8%D9%86%D9%8A%D8%AA%2C+Kafr+Tibnit%2C+Lebanon</x:v>
      </x:c>
      <x:c r="S59" s="30" t="str">
        <x:v>Exact hours/access were not independently confirmed.</x:v>
      </x:c>
      <x:c r="T59" s="30" t="str">
        <x:v>2026-09-07</x:v>
      </x:c>
    </x:row>
    <x:row r="60">
      <x:c r="A60" s="30" t="n">
        <x:v>59</x:v>
      </x:c>
      <x:c r="B60" s="30" t="str">
        <x:v>Al-Kfour</x:v>
      </x:c>
      <x:c r="C60" s="30" t="str">
        <x:v>Akaber Resort / Wedding Venue</x:v>
      </x:c>
      <x:c r="D60" s="30" t="str">
        <x:v>Resort / Events</x:v>
      </x:c>
      <x:c r="E60" s="30" t="str">
        <x:v>Resorts / Pools</x:v>
      </x:c>
      <x:c r="F60" s="30" t="str">
        <x:v>Active - verified</x:v>
      </x:c>
      <x:c r="G60" s="30" t="str">
        <x:v>Resort and event/wedding venue leisure.</x:v>
      </x:c>
      <x:c r="H60" s="30" t="str">
        <x:v>CF47+Q22, Kfour</x:v>
      </x:c>
      <x:c r="I60" s="30" t="str">
        <x:v>+961 3 797 918</x:v>
      </x:c>
      <x:c r="J60" s="32" t="n">
        <x:v>4.7</x:v>
      </x:c>
      <x:c r="K60" s="34" t="n">
        <x:v>34</x:v>
      </x:c>
      <x:c r="L60" s="30" t="str"/>
      <x:c r="M60" s="30" t="str">
        <x:v>Commercial</x:v>
      </x:c>
      <x:c r="N60" s="30" t="str">
        <x:v>High</x:v>
      </x:c>
      <x:c r="O60" s="30" t="str">
        <x:v>Exact Kfour address</x:v>
      </x:c>
      <x:c r="P60" s="30" t="str">
        <x:v>Current local-business listing</x:v>
      </x:c>
      <x:c r="Q60" s="30" t="str">
        <x:v>https://www.google.com/maps/search/?api=1&amp;query=Akaber+Resort%2C+Kfour%2C+Lebanon</x:v>
      </x:c>
      <x:c r="R60" s="30" t="str">
        <x:v>https://www.google.com/maps/search/?api=1&amp;query=Akaber+Resort+%2F+Wedding+Venue%2C+Al-Kfour%2C+Lebanon</x:v>
      </x:c>
      <x:c r="S60" s="30" t="str"/>
      <x:c r="T60" s="30" t="str">
        <x:v>2026-09-07</x:v>
      </x:c>
    </x:row>
    <x:row r="61">
      <x:c r="A61" s="30" t="n">
        <x:v>60</x:v>
      </x:c>
      <x:c r="B61" s="30" t="str">
        <x:v>Al-Kfour</x:v>
      </x:c>
      <x:c r="C61" s="30" t="str">
        <x:v>authentic old buildings</x:v>
      </x:c>
      <x:c r="D61" s="30" t="str">
        <x:v>Heritage / Tourist Attraction</x:v>
      </x:c>
      <x:c r="E61" s="30" t="str">
        <x:v>Heritage / Culture</x:v>
      </x:c>
      <x:c r="F61" s="30" t="str">
        <x:v>Active listing</x:v>
      </x:c>
      <x:c r="G61" s="30" t="str">
        <x:v>Visit a locally mapped cluster/spot identified as authentic old buildings.</x:v>
      </x:c>
      <x:c r="H61" s="30" t="str">
        <x:v>CF23+789, Kfour</x:v>
      </x:c>
      <x:c r="I61" s="30" t="str"/>
      <x:c r="J61" s="32"/>
      <x:c r="K61" s="34"/>
      <x:c r="L61" s="30" t="str"/>
      <x:c r="M61" s="30" t="str">
        <x:v>Public access unknown</x:v>
      </x:c>
      <x:c r="N61" s="30" t="str">
        <x:v>High</x:v>
      </x:c>
      <x:c r="O61" s="30" t="str">
        <x:v>Exact Kfour address</x:v>
      </x:c>
      <x:c r="P61" s="30" t="str">
        <x:v>Current local-business listing</x:v>
      </x:c>
      <x:c r="Q61" s="30" t="str">
        <x:v>https://www.google.com/maps/search/?api=1&amp;query=authentic+old+buildings%2C+Kfour%2C+Lebanon</x:v>
      </x:c>
      <x:c r="R61" s="30" t="str">
        <x:v>https://www.google.com/maps/search/?api=1&amp;query=authentic+old+buildings%2C+Al-Kfour%2C+Lebanon</x:v>
      </x:c>
      <x:c r="S61" s="30" t="str"/>
      <x:c r="T61" s="30" t="str">
        <x:v>2026-09-07</x:v>
      </x:c>
    </x:row>
    <x:row r="62">
      <x:c r="A62" s="30" t="n">
        <x:v>61</x:v>
      </x:c>
      <x:c r="B62" s="30" t="str">
        <x:v>Nabatieh</x:v>
      </x:c>
      <x:c r="C62" s="30" t="str">
        <x:v>الحديقة الأصداء العامة</x:v>
      </x:c>
      <x:c r="D62" s="30" t="str">
        <x:v>Park / Family</x:v>
      </x:c>
      <x:c r="E62" s="30" t="str">
        <x:v>Parks / Family</x:v>
      </x:c>
      <x:c r="F62" s="30" t="str">
        <x:v>Active - verified</x:v>
      </x:c>
      <x:c r="G62" s="30" t="str">
        <x:v>Public park, green space and family outdoor time.</x:v>
      </x:c>
      <x:c r="H62" s="30" t="str">
        <x:v>9FHC+R35, Nabatieh</x:v>
      </x:c>
      <x:c r="I62" s="30" t="str"/>
      <x:c r="J62" s="32" t="n">
        <x:v>4.1</x:v>
      </x:c>
      <x:c r="K62" s="34" t="n">
        <x:v>91</x:v>
      </x:c>
      <x:c r="L62" s="30" t="str">
        <x:v>10:00–20:00 daily</x:v>
      </x:c>
      <x:c r="M62" s="30" t="str">
        <x:v>Public</x:v>
      </x:c>
      <x:c r="N62" s="30" t="str">
        <x:v>High</x:v>
      </x:c>
      <x:c r="O62" s="30" t="str">
        <x:v>Exact city address</x:v>
      </x:c>
      <x:c r="P62" s="30" t="str">
        <x:v>Current local-business listing + An-Nahar public-gardens reporting</x:v>
      </x:c>
      <x:c r="Q62" s="30" t="str">
        <x:v>https://www.annahar.com/arabic/section/77-%D9%85%D8%AC%D8%AA%D9%85%D8%B9/09072022113511266</x:v>
      </x:c>
      <x:c r="R62" s="30" t="str">
        <x:v>https://www.google.com/maps/search/?api=1&amp;query=%D8%A7%D9%84%D8%AD%D8%AF%D9%8A%D9%82%D8%A9+%D8%A7%D9%84%D8%A3%D8%B5%D8%AF%D8%A7%D8%A1+%D8%A7%D9%84%D8%B9%D8%A7%D9%85%D8%A9%2C+Nabatieh%2C+Lebanon</x:v>
      </x:c>
      <x:c r="S62" s="30" t="str"/>
      <x:c r="T62" s="30" t="str">
        <x:v>2026-09-07</x:v>
      </x:c>
    </x:row>
    <x:row r="63">
      <x:c r="A63" s="30" t="n">
        <x:v>62</x:v>
      </x:c>
      <x:c r="B63" s="30" t="str">
        <x:v>Nabatieh</x:v>
      </x:c>
      <x:c r="C63" s="30" t="str">
        <x:v>حديقة الرسول الأكرم</x:v>
      </x:c>
      <x:c r="D63" s="30" t="str">
        <x:v>Park / Family</x:v>
      </x:c>
      <x:c r="E63" s="30" t="str">
        <x:v>Parks / Family</x:v>
      </x:c>
      <x:c r="F63" s="30" t="str">
        <x:v>Active - verified</x:v>
      </x:c>
      <x:c r="G63" s="30" t="str">
        <x:v>Public garden / family leisure.</x:v>
      </x:c>
      <x:c r="H63" s="30" t="str">
        <x:v>9F9Q+347, Nabatieh</x:v>
      </x:c>
      <x:c r="I63" s="30" t="str">
        <x:v>+961 7 760 053</x:v>
      </x:c>
      <x:c r="J63" s="32" t="n">
        <x:v>4.5</x:v>
      </x:c>
      <x:c r="K63" s="34" t="n">
        <x:v>51</x:v>
      </x:c>
      <x:c r="L63" s="30" t="str">
        <x:v>Generally 16:00–22:00; Tuesday listed closed</x:v>
      </x:c>
      <x:c r="M63" s="30" t="str">
        <x:v>Public</x:v>
      </x:c>
      <x:c r="N63" s="30" t="str">
        <x:v>High</x:v>
      </x:c>
      <x:c r="O63" s="30" t="str">
        <x:v>Exact city address</x:v>
      </x:c>
      <x:c r="P63" s="30" t="str">
        <x:v>Current local-business listing + municipal reporting</x:v>
      </x:c>
      <x:c r="Q63" s="30" t="str">
        <x:v>https://www.google.com/maps/search/?api=1&amp;query=%D8%AD%D8%AF%D9%8A%D9%82%D8%A9+%D8%A7%D9%84%D8%B1%D8%B3%D9%88%D9%84+%D8%A7%D9%84%D8%A3%D9%83%D8%B1%D9%85%2C+Nabatieh%2C+Lebanon</x:v>
      </x:c>
      <x:c r="R63" s="30" t="str">
        <x:v>https://www.google.com/maps/search/?api=1&amp;query=%D8%AD%D8%AF%D9%8A%D9%82%D8%A9+%D8%A7%D9%84%D8%B1%D8%B3%D9%88%D9%84+%D8%A7%D9%84%D8%A3%D9%83%D8%B1%D9%85%2C+Nabatieh%2C+Lebanon</x:v>
      </x:c>
      <x:c r="S63" s="30" t="str"/>
      <x:c r="T63" s="30" t="str">
        <x:v>2026-09-07</x:v>
      </x:c>
    </x:row>
    <x:row r="64">
      <x:c r="A64" s="30" t="n">
        <x:v>63</x:v>
      </x:c>
      <x:c r="B64" s="30" t="str">
        <x:v>Nabatieh</x:v>
      </x:c>
      <x:c r="C64" s="30" t="str">
        <x:v>حديقة السيدة المعصومة</x:v>
      </x:c>
      <x:c r="D64" s="30" t="str">
        <x:v>Park / Family</x:v>
      </x:c>
      <x:c r="E64" s="30" t="str">
        <x:v>Parks / Family</x:v>
      </x:c>
      <x:c r="F64" s="30" t="str">
        <x:v>Current public garden</x:v>
      </x:c>
      <x:c r="G64" s="30" t="str">
        <x:v>Public garden / green space and children's leisure.</x:v>
      </x:c>
      <x:c r="H64" s="30" t="str">
        <x:v>9F8J+FQ3, Nabatieh</x:v>
      </x:c>
      <x:c r="I64" s="30" t="str">
        <x:v>+961 7 760 053</x:v>
      </x:c>
      <x:c r="J64" s="32" t="n">
        <x:v>4.3</x:v>
      </x:c>
      <x:c r="K64" s="34" t="n">
        <x:v>112</x:v>
      </x:c>
      <x:c r="L64" s="30" t="str"/>
      <x:c r="M64" s="30" t="str">
        <x:v>Public</x:v>
      </x:c>
      <x:c r="N64" s="30" t="str">
        <x:v>High</x:v>
      </x:c>
      <x:c r="O64" s="30" t="str">
        <x:v>Exact city address</x:v>
      </x:c>
      <x:c r="P64" s="30" t="str">
        <x:v>Current local directory + municipal reporting</x:v>
      </x:c>
      <x:c r="Q64" s="30" t="str">
        <x:v>https://www.google.com/maps/search/?api=1&amp;query=%D8%AD%D8%AF%D9%8A%D9%82%D8%A9+%D8%A7%D9%84%D8%B3%D9%8A%D8%AF%D8%A9+%D8%A7%D9%84%D9%85%D8%B9%D8%B5%D9%88%D9%85%D8%A9%2C+Nabatieh%2C+Lebanon</x:v>
      </x:c>
      <x:c r="R64" s="30" t="str">
        <x:v>https://www.google.com/maps/search/?api=1&amp;query=%D8%AD%D8%AF%D9%8A%D9%82%D8%A9+%D8%A7%D9%84%D8%B3%D9%8A%D8%AF%D8%A9+%D8%A7%D9%84%D9%85%D8%B9%D8%B5%D9%88%D9%85%D8%A9%2C+Nabatieh%2C+Lebanon</x:v>
      </x:c>
      <x:c r="S64" s="30" t="str"/>
      <x:c r="T64" s="30" t="str">
        <x:v>2026-09-07</x:v>
      </x:c>
    </x:row>
    <x:row r="65">
      <x:c r="A65" s="30" t="n">
        <x:v>64</x:v>
      </x:c>
      <x:c r="B65" s="30" t="str">
        <x:v>Nabatieh</x:v>
      </x:c>
      <x:c r="C65" s="30" t="str">
        <x:v>حديقة المقاومة والتحرير</x:v>
      </x:c>
      <x:c r="D65" s="30" t="str">
        <x:v>Park / Family</x:v>
      </x:c>
      <x:c r="E65" s="30" t="str">
        <x:v>Parks / Family</x:v>
      </x:c>
      <x:c r="F65" s="30" t="str">
        <x:v>Current public garden</x:v>
      </x:c>
      <x:c r="G65" s="30" t="str">
        <x:v>Public garden / outdoor family time.</x:v>
      </x:c>
      <x:c r="H65" s="30" t="str">
        <x:v>9FHC+P6P, Nabatieh</x:v>
      </x:c>
      <x:c r="I65" s="30" t="str"/>
      <x:c r="J65" s="32"/>
      <x:c r="K65" s="34"/>
      <x:c r="L65" s="30" t="str"/>
      <x:c r="M65" s="30" t="str">
        <x:v>Public</x:v>
      </x:c>
      <x:c r="N65" s="30" t="str">
        <x:v>High</x:v>
      </x:c>
      <x:c r="O65" s="30" t="str">
        <x:v>Exact city address</x:v>
      </x:c>
      <x:c r="P65" s="30" t="str">
        <x:v>Current local directory + municipal reporting</x:v>
      </x:c>
      <x:c r="Q65" s="30" t="str">
        <x:v>https://www.google.com/maps/search/?api=1&amp;query=%D8%AD%D8%AF%D9%8A%D9%82%D8%A9+%D8%A7%D9%84%D9%85%D9%82%D8%A7%D9%88%D9%85%D8%A9+%D9%88%D8%A7%D9%84%D8%AA%D8%AD%D8%B1%D9%8A%D8%B1%2C+Nabatieh%2C+Lebanon</x:v>
      </x:c>
      <x:c r="R65" s="30" t="str">
        <x:v>https://www.google.com/maps/search/?api=1&amp;query=%D8%AD%D8%AF%D9%8A%D9%82%D8%A9+%D8%A7%D9%84%D9%85%D9%82%D8%A7%D9%88%D9%85%D8%A9+%D9%88%D8%A7%D9%84%D8%AA%D8%AD%D8%B1%D9%8A%D8%B1%2C+Nabatieh%2C+Lebanon</x:v>
      </x:c>
      <x:c r="S65" s="30" t="str"/>
      <x:c r="T65" s="30" t="str">
        <x:v>2026-09-07</x:v>
      </x:c>
    </x:row>
    <x:row r="66">
      <x:c r="A66" s="30" t="n">
        <x:v>65</x:v>
      </x:c>
      <x:c r="B66" s="30" t="str">
        <x:v>Nabatieh</x:v>
      </x:c>
      <x:c r="C66" s="30" t="str">
        <x:v>حديقة الاطفال | Nabatieh Kids Playground</x:v>
      </x:c>
      <x:c r="D66" s="30" t="str">
        <x:v>Family / Playground</x:v>
      </x:c>
      <x:c r="E66" s="30" t="str">
        <x:v>Parks / Family</x:v>
      </x:c>
      <x:c r="F66" s="30" t="str">
        <x:v>Active - verified</x:v>
      </x:c>
      <x:c r="G66" s="30" t="str">
        <x:v>Children's playground.</x:v>
      </x:c>
      <x:c r="H66" s="30" t="str">
        <x:v>9FMV+6VV, Nabatieh</x:v>
      </x:c>
      <x:c r="I66" s="30" t="str">
        <x:v>+961 7 767 002</x:v>
      </x:c>
      <x:c r="J66" s="32" t="n">
        <x:v>4.1</x:v>
      </x:c>
      <x:c r="K66" s="34" t="n">
        <x:v>10</x:v>
      </x:c>
      <x:c r="L66" s="30" t="str"/>
      <x:c r="M66" s="30" t="str">
        <x:v>Public / check access</x:v>
      </x:c>
      <x:c r="N66" s="30" t="str">
        <x:v>High</x:v>
      </x:c>
      <x:c r="O66" s="30" t="str">
        <x:v>Exact city address</x:v>
      </x:c>
      <x:c r="P66" s="30" t="str">
        <x:v>Current local-business listing</x:v>
      </x:c>
      <x:c r="Q66" s="30" t="str">
        <x:v>https://www.google.com/maps/search/?api=1&amp;query=Nabatieh+Kids+Playground%2C+Nabatieh%2C+Lebanon</x:v>
      </x:c>
      <x:c r="R66" s="30" t="str">
        <x:v>https://www.google.com/maps/search/?api=1&amp;query=%D8%AD%D8%AF%D9%8A%D9%82%D8%A9+%D8%A7%D9%84%D8%A7%D8%B7%D9%81%D8%A7%D9%84+%7C+Nabatieh+Kids+Playground%2C+Nabatieh%2C+Lebanon</x:v>
      </x:c>
      <x:c r="S66" s="30" t="str"/>
      <x:c r="T66" s="30" t="str">
        <x:v>2026-09-07</x:v>
      </x:c>
    </x:row>
    <x:row r="67">
      <x:c r="A67" s="30" t="n">
        <x:v>66</x:v>
      </x:c>
      <x:c r="B67" s="30" t="str">
        <x:v>Nabatieh</x:v>
      </x:c>
      <x:c r="C67" s="30" t="str">
        <x:v>ساحة البيدر</x:v>
      </x:c>
      <x:c r="D67" s="30" t="str">
        <x:v>Family / Playground / Square</x:v>
      </x:c>
      <x:c r="E67" s="30" t="str">
        <x:v>Parks / Family</x:v>
      </x:c>
      <x:c r="F67" s="30" t="str">
        <x:v>Active - verified</x:v>
      </x:c>
      <x:c r="G67" s="30" t="str">
        <x:v>Local playground / public-square recreation.</x:v>
      </x:c>
      <x:c r="H67" s="30" t="str">
        <x:v>9FHJ+6MW, Nabatieh</x:v>
      </x:c>
      <x:c r="I67" s="30" t="str"/>
      <x:c r="J67" s="32" t="n">
        <x:v>5</x:v>
      </x:c>
      <x:c r="K67" s="34" t="n">
        <x:v>2</x:v>
      </x:c>
      <x:c r="L67" s="30" t="str">
        <x:v>Open 24 hours</x:v>
      </x:c>
      <x:c r="M67" s="30" t="str">
        <x:v>Public</x:v>
      </x:c>
      <x:c r="N67" s="30" t="str">
        <x:v>High</x:v>
      </x:c>
      <x:c r="O67" s="30" t="str">
        <x:v>Exact city address</x:v>
      </x:c>
      <x:c r="P67" s="30" t="str">
        <x:v>Current local-business listing</x:v>
      </x:c>
      <x:c r="Q67" s="30" t="str">
        <x:v>https://www.google.com/maps/search/?api=1&amp;query=%D8%B3%D8%A7%D8%AD%D8%A9+%D8%A7%D9%84%D8%A8%D9%8A%D8%AF%D8%B1%2C+Nabatieh%2C+Lebanon</x:v>
      </x:c>
      <x:c r="R67" s="30" t="str">
        <x:v>https://www.google.com/maps/search/?api=1&amp;query=%D8%B3%D8%A7%D8%AD%D8%A9+%D8%A7%D9%84%D8%A8%D9%8A%D8%AF%D8%B1%2C+Nabatieh%2C+Lebanon</x:v>
      </x:c>
      <x:c r="S67" s="30" t="str"/>
      <x:c r="T67" s="30" t="str">
        <x:v>2026-09-07</x:v>
      </x:c>
    </x:row>
    <x:row r="68">
      <x:c r="A68" s="30" t="n">
        <x:v>67</x:v>
      </x:c>
      <x:c r="B68" s="30" t="str">
        <x:v>Nabatieh</x:v>
      </x:c>
      <x:c r="C68" s="30" t="str">
        <x:v>DotSpot</x:v>
      </x:c>
      <x:c r="D68" s="30" t="str">
        <x:v>Sports / Basketball</x:v>
      </x:c>
      <x:c r="E68" s="30" t="str">
        <x:v>Sports / Fitness</x:v>
      </x:c>
      <x:c r="F68" s="30" t="str">
        <x:v>Active - verified</x:v>
      </x:c>
      <x:c r="G68" s="30" t="str">
        <x:v>Sports / fitness activity.</x:v>
      </x:c>
      <x:c r="H68" s="30" t="str">
        <x:v>9FFQ+3W7, Nabatieh</x:v>
      </x:c>
      <x:c r="I68" s="30" t="str">
        <x:v>+961 71 110 019</x:v>
      </x:c>
      <x:c r="J68" s="32" t="n">
        <x:v>4.5</x:v>
      </x:c>
      <x:c r="K68" s="34" t="n">
        <x:v>4</x:v>
      </x:c>
      <x:c r="L68" s="30" t="str"/>
      <x:c r="M68" s="30" t="str">
        <x:v>Commercial / club</x:v>
      </x:c>
      <x:c r="N68" s="30" t="str">
        <x:v>High</x:v>
      </x:c>
      <x:c r="O68" s="30" t="str">
        <x:v>Exact city/area listing</x:v>
      </x:c>
      <x:c r="P68" s="30" t="str">
        <x:v>Current local-business listing</x:v>
      </x:c>
      <x:c r="Q68" s="30" t="str">
        <x:v>https://www.google.com/maps/search/?api=1&amp;query=DotSpot%2C+Nabatieh%2C+Lebanon</x:v>
      </x:c>
      <x:c r="R68" s="30" t="str">
        <x:v>https://www.google.com/maps/search/?api=1&amp;query=DotSpot%2C+Nabatieh%2C+Lebanon</x:v>
      </x:c>
      <x:c r="S68" s="30" t="str"/>
      <x:c r="T68" s="30" t="str">
        <x:v>2026-09-07</x:v>
      </x:c>
    </x:row>
    <x:row r="69">
      <x:c r="A69" s="30" t="n">
        <x:v>68</x:v>
      </x:c>
      <x:c r="B69" s="30" t="str">
        <x:v>Nabatieh</x:v>
      </x:c>
      <x:c r="C69" s="30" t="str">
        <x:v>قاعة رياض الصلح الرياضية</x:v>
      </x:c>
      <x:c r="D69" s="30" t="str">
        <x:v>Sports / Basketball</x:v>
      </x:c>
      <x:c r="E69" s="30" t="str">
        <x:v>Sports / Fitness</x:v>
      </x:c>
      <x:c r="F69" s="30" t="str">
        <x:v>Active - verified</x:v>
      </x:c>
      <x:c r="G69" s="30" t="str">
        <x:v>Sports / fitness activity.</x:v>
      </x:c>
      <x:c r="H69" s="30" t="str">
        <x:v>Nabatieh</x:v>
      </x:c>
      <x:c r="I69" s="30" t="str">
        <x:v>+961 70 408 379</x:v>
      </x:c>
      <x:c r="J69" s="32" t="n">
        <x:v>4</x:v>
      </x:c>
      <x:c r="K69" s="34" t="n">
        <x:v>10</x:v>
      </x:c>
      <x:c r="L69" s="30" t="str">
        <x:v>Mon–Sat 08:00–22:00</x:v>
      </x:c>
      <x:c r="M69" s="30" t="str">
        <x:v>Commercial / club</x:v>
      </x:c>
      <x:c r="N69" s="30" t="str">
        <x:v>High</x:v>
      </x:c>
      <x:c r="O69" s="30" t="str">
        <x:v>Exact city/area listing</x:v>
      </x:c>
      <x:c r="P69" s="30" t="str">
        <x:v>Current local-business listing</x:v>
      </x:c>
      <x:c r="Q69" s="30" t="str">
        <x:v>https://www.google.com/maps/search/?api=1&amp;query=%D9%82%D8%A7%D8%B9%D8%A9+%D8%B1%D9%8A%D8%A7%D8%B6+%D8%A7%D9%84%D8%B5%D9%84%D8%AD+%D8%A7%D9%84%D8%B1%D9%8A%D8%A7%D8%B6%D9%8A%D8%A9%2C+Nabatieh%2C+Lebanon</x:v>
      </x:c>
      <x:c r="R69" s="30" t="str">
        <x:v>https://www.google.com/maps/search/?api=1&amp;query=%D9%82%D8%A7%D8%B9%D8%A9+%D8%B1%D9%8A%D8%A7%D8%B6+%D8%A7%D9%84%D8%B5%D9%84%D8%AD+%D8%A7%D9%84%D8%B1%D9%8A%D8%A7%D8%B6%D9%8A%D8%A9%2C+Nabatieh%2C+Lebanon</x:v>
      </x:c>
      <x:c r="S69" s="30" t="str"/>
      <x:c r="T69" s="30" t="str">
        <x:v>2026-09-07</x:v>
      </x:c>
    </x:row>
    <x:row r="70">
      <x:c r="A70" s="30" t="n">
        <x:v>69</x:v>
      </x:c>
      <x:c r="B70" s="30" t="str">
        <x:v>Nabatieh</x:v>
      </x:c>
      <x:c r="C70" s="30" t="str">
        <x:v>Tennis Court Nabatieh</x:v>
      </x:c>
      <x:c r="D70" s="30" t="str">
        <x:v>Sports / Tennis</x:v>
      </x:c>
      <x:c r="E70" s="30" t="str">
        <x:v>Sports / Fitness</x:v>
      </x:c>
      <x:c r="F70" s="30" t="str">
        <x:v>Active - verified</x:v>
      </x:c>
      <x:c r="G70" s="30" t="str">
        <x:v>Sports / fitness activity.</x:v>
      </x:c>
      <x:c r="H70" s="30" t="str">
        <x:v>Hay Salhiyi, Nabatieh</x:v>
      </x:c>
      <x:c r="I70" s="30" t="str">
        <x:v>+961 76 928 970</x:v>
      </x:c>
      <x:c r="J70" s="32"/>
      <x:c r="K70" s="34"/>
      <x:c r="L70" s="30" t="str">
        <x:v>09:00–19:30 daily</x:v>
      </x:c>
      <x:c r="M70" s="30" t="str">
        <x:v>Commercial / club</x:v>
      </x:c>
      <x:c r="N70" s="30" t="str">
        <x:v>High</x:v>
      </x:c>
      <x:c r="O70" s="30" t="str">
        <x:v>Exact city/area listing</x:v>
      </x:c>
      <x:c r="P70" s="30" t="str">
        <x:v>Current local-business listing</x:v>
      </x:c>
      <x:c r="Q70" s="30" t="str">
        <x:v>https://www.google.com/maps/search/?api=1&amp;query=Tennis+Court+Nabatieh%2C+Nabatieh%2C+Lebanon</x:v>
      </x:c>
      <x:c r="R70" s="30" t="str">
        <x:v>https://www.google.com/maps/search/?api=1&amp;query=Tennis+Court+Nabatieh%2C+Nabatieh%2C+Lebanon</x:v>
      </x:c>
      <x:c r="S70" s="30" t="str"/>
      <x:c r="T70" s="30" t="str">
        <x:v>2026-09-07</x:v>
      </x:c>
    </x:row>
    <x:row r="71">
      <x:c r="A71" s="30" t="n">
        <x:v>70</x:v>
      </x:c>
      <x:c r="B71" s="30" t="str">
        <x:v>Nabatieh</x:v>
      </x:c>
      <x:c r="C71" s="30" t="str">
        <x:v>Padel Platz</x:v>
      </x:c>
      <x:c r="D71" s="30" t="str">
        <x:v>Sports / Padel</x:v>
      </x:c>
      <x:c r="E71" s="30" t="str">
        <x:v>Sports / Fitness</x:v>
      </x:c>
      <x:c r="F71" s="30" t="str">
        <x:v>Active - verified</x:v>
      </x:c>
      <x:c r="G71" s="30" t="str">
        <x:v>Sports / fitness activity.</x:v>
      </x:c>
      <x:c r="H71" s="30" t="str">
        <x:v>Nabatieh</x:v>
      </x:c>
      <x:c r="I71" s="30" t="str">
        <x:v>+961 76 878 717</x:v>
      </x:c>
      <x:c r="J71" s="32" t="n">
        <x:v>4.8</x:v>
      </x:c>
      <x:c r="K71" s="34" t="n">
        <x:v>6</x:v>
      </x:c>
      <x:c r="L71" s="30" t="str">
        <x:v>09:00–01:00 daily</x:v>
      </x:c>
      <x:c r="M71" s="30" t="str">
        <x:v>Commercial / club</x:v>
      </x:c>
      <x:c r="N71" s="30" t="str">
        <x:v>High</x:v>
      </x:c>
      <x:c r="O71" s="30" t="str">
        <x:v>Exact city/area listing</x:v>
      </x:c>
      <x:c r="P71" s="30" t="str">
        <x:v>Current local-business listing</x:v>
      </x:c>
      <x:c r="Q71" s="30" t="str">
        <x:v>https://www.google.com/maps/search/?api=1&amp;query=Padel+Platz%2C+Nabatieh%2C+Lebanon</x:v>
      </x:c>
      <x:c r="R71" s="30" t="str">
        <x:v>https://www.google.com/maps/search/?api=1&amp;query=Padel+Platz%2C+Nabatieh%2C+Lebanon</x:v>
      </x:c>
      <x:c r="S71" s="30" t="str"/>
      <x:c r="T71" s="30" t="str">
        <x:v>2026-09-07</x:v>
      </x:c>
    </x:row>
    <x:row r="72">
      <x:c r="A72" s="30" t="n">
        <x:v>71</x:v>
      </x:c>
      <x:c r="B72" s="30" t="str">
        <x:v>Nabatieh</x:v>
      </x:c>
      <x:c r="C72" s="30" t="str">
        <x:v>نادي شباب النبطية</x:v>
      </x:c>
      <x:c r="D72" s="30" t="str">
        <x:v>Sports Club</x:v>
      </x:c>
      <x:c r="E72" s="30" t="str">
        <x:v>Sports / Fitness</x:v>
      </x:c>
      <x:c r="F72" s="30" t="str">
        <x:v>Active - verified</x:v>
      </x:c>
      <x:c r="G72" s="30" t="str">
        <x:v>Sports / fitness activity.</x:v>
      </x:c>
      <x:c r="H72" s="30" t="str">
        <x:v>9FCQ+XRX, Nabatieh</x:v>
      </x:c>
      <x:c r="I72" s="30" t="str"/>
      <x:c r="J72" s="32" t="n">
        <x:v>5</x:v>
      </x:c>
      <x:c r="K72" s="34" t="n">
        <x:v>1</x:v>
      </x:c>
      <x:c r="L72" s="30" t="str"/>
      <x:c r="M72" s="30" t="str">
        <x:v>Commercial / club</x:v>
      </x:c>
      <x:c r="N72" s="30" t="str">
        <x:v>High</x:v>
      </x:c>
      <x:c r="O72" s="30" t="str">
        <x:v>Exact city/area listing</x:v>
      </x:c>
      <x:c r="P72" s="30" t="str">
        <x:v>Current local-business listing</x:v>
      </x:c>
      <x:c r="Q72" s="30" t="str">
        <x:v>https://www.google.com/maps/search/?api=1&amp;query=%D9%86%D8%A7%D8%AF%D9%8A+%D8%B4%D8%A8%D8%A7%D8%A8+%D8%A7%D9%84%D9%86%D8%A8%D8%B7%D9%8A%D8%A9%2C+Nabatieh%2C+Lebanon</x:v>
      </x:c>
      <x:c r="R72" s="30" t="str">
        <x:v>https://www.google.com/maps/search/?api=1&amp;query=%D9%86%D8%A7%D8%AF%D9%8A+%D8%B4%D8%A8%D8%A7%D8%A8+%D8%A7%D9%84%D9%86%D8%A8%D8%B7%D9%8A%D8%A9%2C+Nabatieh%2C+Lebanon</x:v>
      </x:c>
      <x:c r="S72" s="30" t="str"/>
      <x:c r="T72" s="30" t="str">
        <x:v>2026-09-07</x:v>
      </x:c>
    </x:row>
    <x:row r="73">
      <x:c r="A73" s="30" t="n">
        <x:v>72</x:v>
      </x:c>
      <x:c r="B73" s="30" t="str">
        <x:v>Nabatieh</x:v>
      </x:c>
      <x:c r="C73" s="30" t="str">
        <x:v>Flex Fitness</x:v>
      </x:c>
      <x:c r="D73" s="30" t="str">
        <x:v>Sports / Gym</x:v>
      </x:c>
      <x:c r="E73" s="30" t="str">
        <x:v>Sports / Fitness</x:v>
      </x:c>
      <x:c r="F73" s="30" t="str">
        <x:v>Active - verified</x:v>
      </x:c>
      <x:c r="G73" s="30" t="str">
        <x:v>Sports / fitness activity.</x:v>
      </x:c>
      <x:c r="H73" s="30" t="str">
        <x:v>Nabatieh</x:v>
      </x:c>
      <x:c r="I73" s="30" t="str">
        <x:v>+961 70 060 176</x:v>
      </x:c>
      <x:c r="J73" s="32" t="n">
        <x:v>4.6</x:v>
      </x:c>
      <x:c r="K73" s="34" t="n">
        <x:v>81</x:v>
      </x:c>
      <x:c r="L73" s="30" t="str">
        <x:v>Mon–Fri 07:00–22:30; Sat 08:00–21:30</x:v>
      </x:c>
      <x:c r="M73" s="30" t="str">
        <x:v>Commercial / club</x:v>
      </x:c>
      <x:c r="N73" s="30" t="str">
        <x:v>High</x:v>
      </x:c>
      <x:c r="O73" s="30" t="str">
        <x:v>Exact city/area listing</x:v>
      </x:c>
      <x:c r="P73" s="30" t="str">
        <x:v>Current local-business listing</x:v>
      </x:c>
      <x:c r="Q73" s="30" t="str">
        <x:v>https://www.google.com/maps/search/?api=1&amp;query=Flex+Fitness%2C+Nabatieh%2C+Lebanon</x:v>
      </x:c>
      <x:c r="R73" s="30" t="str">
        <x:v>https://www.google.com/maps/search/?api=1&amp;query=Flex+Fitness%2C+Nabatieh%2C+Lebanon</x:v>
      </x:c>
      <x:c r="S73" s="30" t="str"/>
      <x:c r="T73" s="30" t="str">
        <x:v>2026-09-07</x:v>
      </x:c>
    </x:row>
    <x:row r="74">
      <x:c r="A74" s="30" t="n">
        <x:v>73</x:v>
      </x:c>
      <x:c r="B74" s="30" t="str">
        <x:v>Nabatieh</x:v>
      </x:c>
      <x:c r="C74" s="30" t="str">
        <x:v>Golds Gym</x:v>
      </x:c>
      <x:c r="D74" s="30" t="str">
        <x:v>Sports / Gym</x:v>
      </x:c>
      <x:c r="E74" s="30" t="str">
        <x:v>Sports / Fitness</x:v>
      </x:c>
      <x:c r="F74" s="30" t="str">
        <x:v>Active - verified</x:v>
      </x:c>
      <x:c r="G74" s="30" t="str">
        <x:v>Sports / fitness activity.</x:v>
      </x:c>
      <x:c r="H74" s="30" t="str">
        <x:v>9FJM+R86, Nabatieh</x:v>
      </x:c>
      <x:c r="I74" s="30" t="str"/>
      <x:c r="J74" s="32" t="n">
        <x:v>4.1</x:v>
      </x:c>
      <x:c r="K74" s="34" t="n">
        <x:v>16</x:v>
      </x:c>
      <x:c r="L74" s="30" t="str">
        <x:v>Mon–Sat 06:00–00:00; Sun 06:00–14:00</x:v>
      </x:c>
      <x:c r="M74" s="30" t="str">
        <x:v>Commercial / club</x:v>
      </x:c>
      <x:c r="N74" s="30" t="str">
        <x:v>High</x:v>
      </x:c>
      <x:c r="O74" s="30" t="str">
        <x:v>Exact city/area listing</x:v>
      </x:c>
      <x:c r="P74" s="30" t="str">
        <x:v>Current local-business listing</x:v>
      </x:c>
      <x:c r="Q74" s="30" t="str">
        <x:v>https://www.google.com/maps/search/?api=1&amp;query=Golds+Gym%2C+Nabatieh%2C+Lebanon</x:v>
      </x:c>
      <x:c r="R74" s="30" t="str">
        <x:v>https://www.google.com/maps/search/?api=1&amp;query=Golds+Gym%2C+Nabatieh%2C+Lebanon</x:v>
      </x:c>
      <x:c r="S74" s="30" t="str"/>
      <x:c r="T74" s="30" t="str">
        <x:v>2026-09-07</x:v>
      </x:c>
    </x:row>
    <x:row r="75">
      <x:c r="A75" s="30" t="n">
        <x:v>74</x:v>
      </x:c>
      <x:c r="B75" s="30" t="str">
        <x:v>Nabatieh</x:v>
      </x:c>
      <x:c r="C75" s="30" t="str">
        <x:v>B52 Elite Fitness Club</x:v>
      </x:c>
      <x:c r="D75" s="30" t="str">
        <x:v>Sports / Gym</x:v>
      </x:c>
      <x:c r="E75" s="30" t="str">
        <x:v>Sports / Fitness</x:v>
      </x:c>
      <x:c r="F75" s="30" t="str">
        <x:v>Active - verified</x:v>
      </x:c>
      <x:c r="G75" s="30" t="str">
        <x:v>Sports / fitness activity.</x:v>
      </x:c>
      <x:c r="H75" s="30" t="str">
        <x:v>9FPP+XQ7, Nabatieh</x:v>
      </x:c>
      <x:c r="I75" s="30" t="str"/>
      <x:c r="J75" s="32" t="n">
        <x:v>5</x:v>
      </x:c>
      <x:c r="K75" s="34" t="n">
        <x:v>6</x:v>
      </x:c>
      <x:c r="L75" s="30" t="str">
        <x:v>Mon–Sat 06:00–23:00</x:v>
      </x:c>
      <x:c r="M75" s="30" t="str">
        <x:v>Commercial / club</x:v>
      </x:c>
      <x:c r="N75" s="30" t="str">
        <x:v>High</x:v>
      </x:c>
      <x:c r="O75" s="30" t="str">
        <x:v>Exact city/area listing</x:v>
      </x:c>
      <x:c r="P75" s="30" t="str">
        <x:v>Current local-business listing</x:v>
      </x:c>
      <x:c r="Q75" s="30" t="str">
        <x:v>https://www.google.com/maps/search/?api=1&amp;query=B52+Elite+Fitness+Club%2C+Nabatieh%2C+Lebanon</x:v>
      </x:c>
      <x:c r="R75" s="30" t="str">
        <x:v>https://www.google.com/maps/search/?api=1&amp;query=B52+Elite+Fitness+Club%2C+Nabatieh%2C+Lebanon</x:v>
      </x:c>
      <x:c r="S75" s="30" t="str"/>
      <x:c r="T75" s="30" t="str">
        <x:v>2026-09-07</x:v>
      </x:c>
    </x:row>
    <x:row r="76">
      <x:c r="A76" s="30" t="n">
        <x:v>75</x:v>
      </x:c>
      <x:c r="B76" s="30" t="str">
        <x:v>Nabatieh</x:v>
      </x:c>
      <x:c r="C76" s="30" t="str">
        <x:v>Future Stars Gym</x:v>
      </x:c>
      <x:c r="D76" s="30" t="str">
        <x:v>Sports / Gym</x:v>
      </x:c>
      <x:c r="E76" s="30" t="str">
        <x:v>Sports / Fitness</x:v>
      </x:c>
      <x:c r="F76" s="30" t="str">
        <x:v>Active - verified</x:v>
      </x:c>
      <x:c r="G76" s="30" t="str">
        <x:v>Sports / fitness activity.</x:v>
      </x:c>
      <x:c r="H76" s="30" t="str">
        <x:v>Central Bank of Lebanon area, Nabatieh</x:v>
      </x:c>
      <x:c r="I76" s="30" t="str">
        <x:v>+961 3 924 057</x:v>
      </x:c>
      <x:c r="J76" s="32" t="n">
        <x:v>5</x:v>
      </x:c>
      <x:c r="K76" s="34" t="n">
        <x:v>2</x:v>
      </x:c>
      <x:c r="L76" s="30" t="str">
        <x:v>Mon–Sat 09:00–23:30</x:v>
      </x:c>
      <x:c r="M76" s="30" t="str">
        <x:v>Commercial / club</x:v>
      </x:c>
      <x:c r="N76" s="30" t="str">
        <x:v>High</x:v>
      </x:c>
      <x:c r="O76" s="30" t="str">
        <x:v>Exact city/area listing</x:v>
      </x:c>
      <x:c r="P76" s="30" t="str">
        <x:v>Current local-business listing</x:v>
      </x:c>
      <x:c r="Q76" s="30" t="str">
        <x:v>https://www.google.com/maps/search/?api=1&amp;query=Future+Stars+Gym%2C+Nabatieh%2C+Lebanon</x:v>
      </x:c>
      <x:c r="R76" s="30" t="str">
        <x:v>https://www.google.com/maps/search/?api=1&amp;query=Future+Stars+Gym%2C+Nabatieh%2C+Lebanon</x:v>
      </x:c>
      <x:c r="S76" s="30" t="str"/>
      <x:c r="T76" s="30" t="str">
        <x:v>2026-09-07</x:v>
      </x:c>
    </x:row>
    <x:row r="77">
      <x:c r="A77" s="30" t="n">
        <x:v>76</x:v>
      </x:c>
      <x:c r="B77" s="30" t="str">
        <x:v>Nabatieh</x:v>
      </x:c>
      <x:c r="C77" s="30" t="str">
        <x:v>Body Force Gym</x:v>
      </x:c>
      <x:c r="D77" s="30" t="str">
        <x:v>Sports / Gym</x:v>
      </x:c>
      <x:c r="E77" s="30" t="str">
        <x:v>Sports / Fitness</x:v>
      </x:c>
      <x:c r="F77" s="30" t="str">
        <x:v>Active - verified</x:v>
      </x:c>
      <x:c r="G77" s="30" t="str">
        <x:v>Sports / fitness activity.</x:v>
      </x:c>
      <x:c r="H77" s="30" t="str">
        <x:v>CCP8+W9G, Road, Nabatieh</x:v>
      </x:c>
      <x:c r="I77" s="30" t="str">
        <x:v>+961 70 622 407</x:v>
      </x:c>
      <x:c r="J77" s="32" t="n">
        <x:v>5</x:v>
      </x:c>
      <x:c r="K77" s="34" t="n">
        <x:v>19</x:v>
      </x:c>
      <x:c r="L77" s="30" t="str">
        <x:v>Mon–Sat 08:00–00:00</x:v>
      </x:c>
      <x:c r="M77" s="30" t="str">
        <x:v>Commercial / club</x:v>
      </x:c>
      <x:c r="N77" s="30" t="str">
        <x:v>High</x:v>
      </x:c>
      <x:c r="O77" s="30" t="str">
        <x:v>Exact city/area listing</x:v>
      </x:c>
      <x:c r="P77" s="30" t="str">
        <x:v>Current local-business listing</x:v>
      </x:c>
      <x:c r="Q77" s="30" t="str">
        <x:v>https://www.google.com/maps/search/?api=1&amp;query=Body+Force+Gym%2C+Nabatieh%2C+Lebanon</x:v>
      </x:c>
      <x:c r="R77" s="30" t="str">
        <x:v>https://www.google.com/maps/search/?api=1&amp;query=Body+Force+Gym%2C+Nabatieh%2C+Lebanon</x:v>
      </x:c>
      <x:c r="S77" s="30" t="str"/>
      <x:c r="T77" s="30" t="str">
        <x:v>2026-09-07</x:v>
      </x:c>
    </x:row>
    <x:row r="78">
      <x:c r="A78" s="30" t="n">
        <x:v>77</x:v>
      </x:c>
      <x:c r="B78" s="30" t="str">
        <x:v>Nabatieh</x:v>
      </x:c>
      <x:c r="C78" s="30" t="str">
        <x:v>Paintball Nabatieh</x:v>
      </x:c>
      <x:c r="D78" s="30" t="str">
        <x:v>Entertainment / Paintball</x:v>
      </x:c>
      <x:c r="E78" s="30" t="str">
        <x:v>Shopping / Entertainment</x:v>
      </x:c>
      <x:c r="F78" s="30" t="str">
        <x:v>Permanently closed</x:v>
      </x:c>
      <x:c r="G78" s="30" t="str">
        <x:v>Former paintball activity.</x:v>
      </x:c>
      <x:c r="H78" s="30" t="str">
        <x:v>9F3X+55M, Nabatieh</x:v>
      </x:c>
      <x:c r="I78" s="30" t="str">
        <x:v>+961 3 108 421</x:v>
      </x:c>
      <x:c r="J78" s="32" t="n">
        <x:v>3.5</x:v>
      </x:c>
      <x:c r="K78" s="34" t="n">
        <x:v>2</x:v>
      </x:c>
      <x:c r="L78" s="30" t="str"/>
      <x:c r="M78" s="30" t="str">
        <x:v>Closed</x:v>
      </x:c>
      <x:c r="N78" s="30" t="str">
        <x:v>High</x:v>
      </x:c>
      <x:c r="O78" s="30" t="str">
        <x:v>Exact city address</x:v>
      </x:c>
      <x:c r="P78" s="30" t="str">
        <x:v>Current local-business status</x:v>
      </x:c>
      <x:c r="Q78" s="30" t="str">
        <x:v>https://www.google.com/maps/search/?api=1&amp;query=Paintball+Nabatieh%2C+Nabatieh%2C+Lebanon</x:v>
      </x:c>
      <x:c r="R78" s="30" t="str">
        <x:v>https://www.google.com/maps/search/?api=1&amp;query=Paintball+Nabatieh%2C+Nabatieh%2C+Lebanon</x:v>
      </x:c>
      <x:c r="S78" s="30" t="str"/>
      <x:c r="T78" s="30" t="str">
        <x:v>2026-09-07</x:v>
      </x:c>
    </x:row>
    <x:row r="79">
      <x:c r="A79" s="30" t="n">
        <x:v>78</x:v>
      </x:c>
      <x:c r="B79" s="30" t="str">
        <x:v>Nabatieh</x:v>
      </x:c>
      <x:c r="C79" s="30" t="str">
        <x:v>The Spot Nabatieh</x:v>
      </x:c>
      <x:c r="D79" s="30" t="str">
        <x:v>Shopping / Entertainment</x:v>
      </x:c>
      <x:c r="E79" s="30" t="str">
        <x:v>Shopping / Entertainment</x:v>
      </x:c>
      <x:c r="F79" s="30" t="str">
        <x:v>Active - verified</x:v>
      </x:c>
      <x:c r="G79" s="30" t="str">
        <x:v>Shopping, dining and mall leisure; older/current directories also associate entertainment/cinema functions with the complex.</x:v>
      </x:c>
      <x:c r="H79" s="30" t="str">
        <x:v>9FVP+HQX, Nabatieh</x:v>
      </x:c>
      <x:c r="I79" s="30" t="str">
        <x:v>+961 7 530 089</x:v>
      </x:c>
      <x:c r="J79" s="32" t="n">
        <x:v>3.9</x:v>
      </x:c>
      <x:c r="K79" s="34" t="n">
        <x:v>437</x:v>
      </x:c>
      <x:c r="L79" s="30" t="str">
        <x:v>Generally 10:00–22:00; Sunday listing extends later</x:v>
      </x:c>
      <x:c r="M79" s="30" t="str">
        <x:v>Public commercial</x:v>
      </x:c>
      <x:c r="N79" s="30" t="str">
        <x:v>High</x:v>
      </x:c>
      <x:c r="O79" s="30" t="str">
        <x:v>Exact city address</x:v>
      </x:c>
      <x:c r="P79" s="30" t="str">
        <x:v>Current local-business listing + Daleeeel tenant directory</x:v>
      </x:c>
      <x:c r="Q79" s="30" t="str">
        <x:v>https://www.daleeeel.com/en-lb/location/6630/the-spot-mall-nabatieh/places-inside/</x:v>
      </x:c>
      <x:c r="R79" s="30" t="str">
        <x:v>https://www.google.com/maps/search/?api=1&amp;query=The+Spot+Nabatieh%2C+Nabatieh%2C+Lebanon</x:v>
      </x:c>
      <x:c r="S79" s="30" t="str"/>
      <x:c r="T79" s="30" t="str">
        <x:v>2026-09-07</x:v>
      </x:c>
    </x:row>
    <x:row r="80">
      <x:c r="A80" s="30" t="n">
        <x:v>79</x:v>
      </x:c>
      <x:c r="B80" s="30" t="str">
        <x:v>Nabatieh</x:v>
      </x:c>
      <x:c r="C80" s="30" t="str">
        <x:v>SPECTRUM STORE</x:v>
      </x:c>
      <x:c r="D80" s="30" t="str">
        <x:v>Shopping / Mall</x:v>
      </x:c>
      <x:c r="E80" s="30" t="str">
        <x:v>Shopping / Entertainment</x:v>
      </x:c>
      <x:c r="F80" s="30" t="str">
        <x:v>Active - verified</x:v>
      </x:c>
      <x:c r="G80" s="30" t="str">
        <x:v>Shopping / retail visit.</x:v>
      </x:c>
      <x:c r="H80" s="30" t="str">
        <x:v>Nabatieh</x:v>
      </x:c>
      <x:c r="I80" s="30" t="str"/>
      <x:c r="J80" s="32" t="n">
        <x:v>4.4</x:v>
      </x:c>
      <x:c r="K80" s="34" t="n">
        <x:v>44</x:v>
      </x:c>
      <x:c r="L80" s="30" t="str"/>
      <x:c r="M80" s="30" t="str">
        <x:v>Public commercial</x:v>
      </x:c>
      <x:c r="N80" s="30" t="str">
        <x:v>High</x:v>
      </x:c>
      <x:c r="O80" s="30" t="str">
        <x:v>City listing</x:v>
      </x:c>
      <x:c r="P80" s="30" t="str">
        <x:v>Current local-business listing</x:v>
      </x:c>
      <x:c r="Q80" s="30" t="str">
        <x:v>https://www.google.com/maps/search/?api=1&amp;query=SPECTRUM+STORE%2C+Nabatieh%2C+Lebanon</x:v>
      </x:c>
      <x:c r="R80" s="30" t="str">
        <x:v>https://www.google.com/maps/search/?api=1&amp;query=SPECTRUM+STORE%2C+Nabatieh%2C+Lebanon</x:v>
      </x:c>
      <x:c r="S80" s="30" t="str"/>
      <x:c r="T80" s="30" t="str">
        <x:v>2026-09-07</x:v>
      </x:c>
    </x:row>
    <x:row r="81">
      <x:c r="A81" s="30" t="n">
        <x:v>80</x:v>
      </x:c>
      <x:c r="B81" s="30" t="str">
        <x:v>Nabatieh</x:v>
      </x:c>
      <x:c r="C81" s="30" t="str">
        <x:v>Rivoli Center</x:v>
      </x:c>
      <x:c r="D81" s="30" t="str">
        <x:v>Shopping / Mall</x:v>
      </x:c>
      <x:c r="E81" s="30" t="str">
        <x:v>Shopping / Entertainment</x:v>
      </x:c>
      <x:c r="F81" s="30" t="str">
        <x:v>Active - verified</x:v>
      </x:c>
      <x:c r="G81" s="30" t="str">
        <x:v>Shopping / retail visit.</x:v>
      </x:c>
      <x:c r="H81" s="30" t="str">
        <x:v>9FGM+HWX, Nabatieh</x:v>
      </x:c>
      <x:c r="I81" s="30" t="str"/>
      <x:c r="J81" s="32" t="n">
        <x:v>4.2</x:v>
      </x:c>
      <x:c r="K81" s="34" t="n">
        <x:v>31</x:v>
      </x:c>
      <x:c r="L81" s="30" t="str">
        <x:v>Listed 24 hours</x:v>
      </x:c>
      <x:c r="M81" s="30" t="str">
        <x:v>Public commercial</x:v>
      </x:c>
      <x:c r="N81" s="30" t="str">
        <x:v>High</x:v>
      </x:c>
      <x:c r="O81" s="30" t="str">
        <x:v>Exact city address</x:v>
      </x:c>
      <x:c r="P81" s="30" t="str">
        <x:v>Current local-business listing</x:v>
      </x:c>
      <x:c r="Q81" s="30" t="str">
        <x:v>https://www.google.com/maps/search/?api=1&amp;query=Rivoli+Center%2C+Nabatieh%2C+Lebanon</x:v>
      </x:c>
      <x:c r="R81" s="30" t="str">
        <x:v>https://www.google.com/maps/search/?api=1&amp;query=Rivoli+Center%2C+Nabatieh%2C+Lebanon</x:v>
      </x:c>
      <x:c r="S81" s="30" t="str"/>
      <x:c r="T81" s="30" t="str">
        <x:v>2026-09-07</x:v>
      </x:c>
    </x:row>
    <x:row r="82">
      <x:c r="A82" s="30" t="n">
        <x:v>81</x:v>
      </x:c>
      <x:c r="B82" s="30" t="str">
        <x:v>Nabatieh</x:v>
      </x:c>
      <x:c r="C82" s="30" t="str">
        <x:v>Traditional Souk of Nabatieh</x:v>
      </x:c>
      <x:c r="D82" s="30" t="str">
        <x:v>Heritage / Market Walk</x:v>
      </x:c>
      <x:c r="E82" s="30" t="str">
        <x:v>Heritage / Culture</x:v>
      </x:c>
      <x:c r="F82" s="30" t="str">
        <x:v>Timeless / current urban feature</x:v>
      </x:c>
      <x:c r="G82" s="30" t="str">
        <x:v>Walk through the traditional commercial souk / historic urban center.</x:v>
      </x:c>
      <x:c r="H82" s="30" t="str">
        <x:v>Central Nabatieh</x:v>
      </x:c>
      <x:c r="I82" s="30" t="str"/>
      <x:c r="J82" s="32"/>
      <x:c r="K82" s="34"/>
      <x:c r="L82" s="30" t="str"/>
      <x:c r="M82" s="30" t="str">
        <x:v>Public</x:v>
      </x:c>
      <x:c r="N82" s="30" t="str">
        <x:v>Medium</x:v>
      </x:c>
      <x:c r="O82" s="30" t="str">
        <x:v>City</x:v>
      </x:c>
      <x:c r="P82" s="30" t="str">
        <x:v>Destination Lebanon Nabatieh guide</x:v>
      </x:c>
      <x:c r="Q82" s="30" t="str">
        <x:v>https://www.destinationlebanon.com/download-sub/destleb/nabatieh.pdf</x:v>
      </x:c>
      <x:c r="R82" s="30" t="str">
        <x:v>https://www.google.com/maps/search/?api=1&amp;query=Traditional+Souk+of+Nabatieh%2C+Nabatieh%2C+Lebanon</x:v>
      </x:c>
      <x:c r="S82" s="30" t="str"/>
      <x:c r="T82" s="30" t="str">
        <x:v>2026-09-07</x:v>
      </x:c>
    </x:row>
    <x:row r="83">
      <x:c r="A83" s="30" t="n">
        <x:v>82</x:v>
      </x:c>
      <x:c r="B83" s="30" t="str">
        <x:v>Nabatieh</x:v>
      </x:c>
      <x:c r="C83" s="30" t="str">
        <x:v>Nabatieh heritage circuit</x:v>
      </x:c>
      <x:c r="D83" s="30" t="str">
        <x:v>Heritage / Architecture</x:v>
      </x:c>
      <x:c r="E83" s="30" t="str">
        <x:v>Heritage / Culture</x:v>
      </x:c>
      <x:c r="F83" s="30" t="str">
        <x:v>Timeless / verify individual access</x:v>
      </x:c>
      <x:c r="G83" s="30" t="str">
        <x:v>Explore historic sites documented in the city: Ancient Serail–Al Hay Mosque, Nabi-Al Mosque, Mar Antonios Monastery and Mohammed Beik Al-Fadel Heritage House.</x:v>
      </x:c>
      <x:c r="H83" s="30" t="str">
        <x:v>Nabatieh</x:v>
      </x:c>
      <x:c r="I83" s="30" t="str"/>
      <x:c r="J83" s="32"/>
      <x:c r="K83" s="34"/>
      <x:c r="L83" s="30" t="str"/>
      <x:c r="M83" s="30" t="str">
        <x:v>Mixed public/private/religious</x:v>
      </x:c>
      <x:c r="N83" s="30" t="str">
        <x:v>Medium</x:v>
      </x:c>
      <x:c r="O83" s="30" t="str">
        <x:v>City</x:v>
      </x:c>
      <x:c r="P83" s="30" t="str">
        <x:v>Destination Lebanon Nabatieh guide</x:v>
      </x:c>
      <x:c r="Q83" s="30" t="str">
        <x:v>https://www.destinationlebanon.com/download-sub/destleb/nabatieh.pdf</x:v>
      </x:c>
      <x:c r="R83" s="30" t="str">
        <x:v>https://www.google.com/maps/search/?api=1&amp;query=Nabatieh+heritage+circuit%2C+Nabatieh%2C+Lebanon</x:v>
      </x:c>
      <x:c r="S83" s="30" t="str"/>
      <x:c r="T83" s="30" t="str">
        <x:v>2026-09-07</x:v>
      </x:c>
    </x:row>
    <x:row r="84">
      <x:c r="A84" s="30" t="n">
        <x:v>83</x:v>
      </x:c>
      <x:c r="B84" s="30" t="str">
        <x:v>Nabatieh</x:v>
      </x:c>
      <x:c r="C84" s="30" t="str">
        <x:v>Ain Al-Dahab Spring</x:v>
      </x:c>
      <x:c r="D84" s="30" t="str">
        <x:v>Nature / Spring</x:v>
      </x:c>
      <x:c r="E84" s="30" t="str">
        <x:v>Nature / Hiking</x:v>
      </x:c>
      <x:c r="F84" s="30" t="str">
        <x:v>Timeless / verify access</x:v>
      </x:c>
      <x:c r="G84" s="30" t="str">
        <x:v>Visit a historically documented local spring.</x:v>
      </x:c>
      <x:c r="H84" s="30" t="str">
        <x:v>Nabatieh</x:v>
      </x:c>
      <x:c r="I84" s="30" t="str"/>
      <x:c r="J84" s="32"/>
      <x:c r="K84" s="34"/>
      <x:c r="L84" s="30" t="str"/>
      <x:c r="M84" s="30" t="str">
        <x:v>Access unknown</x:v>
      </x:c>
      <x:c r="N84" s="30" t="str">
        <x:v>Medium</x:v>
      </x:c>
      <x:c r="O84" s="30" t="str">
        <x:v>City</x:v>
      </x:c>
      <x:c r="P84" s="30" t="str">
        <x:v>Destination Lebanon Nabatieh guide</x:v>
      </x:c>
      <x:c r="Q84" s="30" t="str">
        <x:v>https://www.destinationlebanon.com/download-sub/destleb/nabatieh.pdf</x:v>
      </x:c>
      <x:c r="R84" s="30" t="str">
        <x:v>https://www.google.com/maps/search/?api=1&amp;query=Ain+Al-Dahab+Spring%2C+Nabatieh%2C+Lebanon</x:v>
      </x:c>
      <x:c r="S84" s="30" t="str"/>
      <x:c r="T84" s="30" t="str">
        <x:v>2026-09-07</x:v>
      </x:c>
    </x:row>
    <x:row r="85">
      <x:c r="A85" s="30" t="n">
        <x:v>84</x:v>
      </x:c>
      <x:c r="B85" s="30" t="str">
        <x:v>Nabatieh Al-Fawqa</x:v>
      </x:c>
      <x:c r="C85" s="30" t="str">
        <x:v>حديقة النبطية الفوقا العامة</x:v>
      </x:c>
      <x:c r="D85" s="30" t="str">
        <x:v>Park / Walking / Family</x:v>
      </x:c>
      <x:c r="E85" s="30" t="str">
        <x:v>Parks / Family</x:v>
      </x:c>
      <x:c r="F85" s="30" t="str">
        <x:v>Active - verified</x:v>
      </x:c>
      <x:c r="G85" s="30" t="str">
        <x:v>Walking/jogging paths, green areas, seating and family recreation; local park directories also describe sports/entertainment use.</x:v>
      </x:c>
      <x:c r="H85" s="30" t="str">
        <x:v>9F5P+C32, Nabatieh El Faouqa</x:v>
      </x:c>
      <x:c r="I85" s="30" t="str">
        <x:v>+961 7 760 483</x:v>
      </x:c>
      <x:c r="J85" s="32"/>
      <x:c r="K85" s="34"/>
      <x:c r="L85" s="30" t="str"/>
      <x:c r="M85" s="30" t="str">
        <x:v>Public</x:v>
      </x:c>
      <x:c r="N85" s="30" t="str">
        <x:v>High</x:v>
      </x:c>
      <x:c r="O85" s="30" t="str">
        <x:v>Exact sub-area</x:v>
      </x:c>
      <x:c r="P85" s="30" t="str">
        <x:v>Current local-business listing + Trfihi park directory</x:v>
      </x:c>
      <x:c r="Q85" s="30" t="str">
        <x:v>https://www.trfihi-parks.com/ar/park-details/3019-%D8%AD%D8%AF%D9%8A%D9%82%D8%A9-%D8%A7%D9%84%D9%86%D8%A8%D8%B7%D9%8A%D8%A9-%D8%A7%D9%84%D9%81%D9%88%D9%82%D8%A7-%D8%A7%D9%84%D8%B9%D8%A7%D9%85%D8%A9</x:v>
      </x:c>
      <x:c r="R85" s="30" t="str">
        <x:v>https://www.google.com/maps/search/?api=1&amp;query=%D8%AD%D8%AF%D9%8A%D9%82%D8%A9+%D8%A7%D9%84%D9%86%D8%A8%D8%B7%D9%8A%D8%A9+%D8%A7%D9%84%D9%81%D9%88%D9%82%D8%A7+%D8%A7%D9%84%D8%B9%D8%A7%D9%85%D8%A9%2C+Nabatieh+Al-Fawqa%2C+Lebanon</x:v>
      </x:c>
      <x:c r="S85" s="30" t="str"/>
      <x:c r="T85" s="30" t="str">
        <x:v>2026-09-07</x:v>
      </x:c>
    </x:row>
    <x:row r="86">
      <x:c r="A86" s="30" t="n">
        <x:v>85</x:v>
      </x:c>
      <x:c r="B86" s="30" t="str">
        <x:v>Nabatieh Al-Fawqa</x:v>
      </x:c>
      <x:c r="C86" s="30" t="str">
        <x:v>نادي العاديات للفروسية</x:v>
      </x:c>
      <x:c r="D86" s="30" t="str">
        <x:v>Sports / Horse Riding</x:v>
      </x:c>
      <x:c r="E86" s="30" t="str">
        <x:v>Sports / Fitness</x:v>
      </x:c>
      <x:c r="F86" s="30" t="str">
        <x:v>Temporarily closed</x:v>
      </x:c>
      <x:c r="G86" s="30" t="str">
        <x:v>Horse-riding school / equestrian activity.</x:v>
      </x:c>
      <x:c r="H86" s="30" t="str">
        <x:v>8FWV+6JF, Nabatieh El Faouqa</x:v>
      </x:c>
      <x:c r="I86" s="30" t="str"/>
      <x:c r="J86" s="32" t="n">
        <x:v>5</x:v>
      </x:c>
      <x:c r="K86" s="34" t="n">
        <x:v>4</x:v>
      </x:c>
      <x:c r="L86" s="30" t="str"/>
      <x:c r="M86" s="30" t="str">
        <x:v>Temporarily closed</x:v>
      </x:c>
      <x:c r="N86" s="30" t="str">
        <x:v>High</x:v>
      </x:c>
      <x:c r="O86" s="30" t="str">
        <x:v>Exact sub-area</x:v>
      </x:c>
      <x:c r="P86" s="30" t="str">
        <x:v>Current local-business status</x:v>
      </x:c>
      <x:c r="Q86" s="30" t="str">
        <x:v>https://www.google.com/maps/search/?api=1&amp;query=%D9%86%D8%A7%D8%AF%D9%8A+%D8%A7%D9%84%D8%B9%D8%A7%D8%AF%D9%8A%D8%A7%D8%AA+%D9%84%D9%84%D9%81%D8%B1%D9%88%D8%B3%D9%8A%D8%A9%2C+Nabatieh+El+Faouqa%2C+Lebanon</x:v>
      </x:c>
      <x:c r="R86" s="30" t="str">
        <x:v>https://www.google.com/maps/search/?api=1&amp;query=%D9%86%D8%A7%D8%AF%D9%8A+%D8%A7%D9%84%D8%B9%D8%A7%D8%AF%D9%8A%D8%A7%D8%AA+%D9%84%D9%84%D9%81%D8%B1%D9%88%D8%B3%D9%8A%D8%A9%2C+Nabatieh+Al-Fawqa%2C+Lebanon</x:v>
      </x:c>
      <x:c r="S86" s="30" t="str"/>
      <x:c r="T86" s="30" t="str">
        <x:v>2026-09-07</x:v>
      </x:c>
    </x:row>
    <x:row r="87">
      <x:c r="A87" s="30" t="n">
        <x:v>86</x:v>
      </x:c>
      <x:c r="B87" s="30" t="str">
        <x:v>Roumine</x:v>
      </x:c>
      <x:c r="C87" s="30" t="str">
        <x:v>Dahr Al Kousour heritage area</x:v>
      </x:c>
      <x:c r="D87" s="30" t="str">
        <x:v>Heritage / Archaeology</x:v>
      </x:c>
      <x:c r="E87" s="30" t="str">
        <x:v>Heritage / Culture</x:v>
      </x:c>
      <x:c r="F87" s="30" t="str">
        <x:v>Timeless / verify access</x:v>
      </x:c>
      <x:c r="G87" s="30" t="str">
        <x:v>Explore a documented heritage area with caves/sarcophagi, heritage houses and an old olive press.</x:v>
      </x:c>
      <x:c r="H87" s="30" t="str">
        <x:v>Roumine</x:v>
      </x:c>
      <x:c r="I87" s="30" t="str"/>
      <x:c r="J87" s="32"/>
      <x:c r="K87" s="34"/>
      <x:c r="L87" s="30" t="str"/>
      <x:c r="M87" s="30" t="str">
        <x:v>Access unknown</x:v>
      </x:c>
      <x:c r="N87" s="30" t="str">
        <x:v>Medium</x:v>
      </x:c>
      <x:c r="O87" s="30" t="str">
        <x:v>Exact village</x:v>
      </x:c>
      <x:c r="P87" s="30" t="str">
        <x:v>Destination Lebanon Nabatieh guide</x:v>
      </x:c>
      <x:c r="Q87" s="30" t="str">
        <x:v>https://www.destinationlebanon.com/download-sub/destleb/nabatieh.pdf</x:v>
      </x:c>
      <x:c r="R87" s="30" t="str">
        <x:v>https://www.google.com/maps/search/?api=1&amp;query=Dahr+Al+Kousour+heritage+area%2C+Roumine%2C+Lebanon</x:v>
      </x:c>
      <x:c r="S87" s="30" t="str"/>
      <x:c r="T87" s="30" t="str">
        <x:v>2026-09-07</x:v>
      </x:c>
    </x:row>
    <x:row r="88">
      <x:c r="A88" s="30" t="n">
        <x:v>87</x:v>
      </x:c>
      <x:c r="B88" s="30" t="str">
        <x:v>Roumine</x:v>
      </x:c>
      <x:c r="C88" s="30" t="str">
        <x:v>Al-Zahrani River</x:v>
      </x:c>
      <x:c r="D88" s="30" t="str">
        <x:v>Nature / River</x:v>
      </x:c>
      <x:c r="E88" s="30" t="str">
        <x:v>Nature / Hiking</x:v>
      </x:c>
      <x:c r="F88" s="30" t="str">
        <x:v>Timeless / verify access</x:v>
      </x:c>
      <x:c r="G88" s="30" t="str">
        <x:v>Riverside nature / scenery around the village.</x:v>
      </x:c>
      <x:c r="H88" s="30" t="str">
        <x:v>Roumine</x:v>
      </x:c>
      <x:c r="I88" s="30" t="str"/>
      <x:c r="J88" s="32"/>
      <x:c r="K88" s="34"/>
      <x:c r="L88" s="30" t="str"/>
      <x:c r="M88" s="30" t="str">
        <x:v>Access unknown</x:v>
      </x:c>
      <x:c r="N88" s="30" t="str">
        <x:v>Medium</x:v>
      </x:c>
      <x:c r="O88" s="30" t="str">
        <x:v>Exact village</x:v>
      </x:c>
      <x:c r="P88" s="30" t="str">
        <x:v>Destination Lebanon Nabatieh guide</x:v>
      </x:c>
      <x:c r="Q88" s="30" t="str">
        <x:v>https://www.destinationlebanon.com/download-sub/destleb/nabatieh.pdf</x:v>
      </x:c>
      <x:c r="R88" s="30" t="str">
        <x:v>https://www.google.com/maps/search/?api=1&amp;query=Al-Zahrani+River%2C+Roumine%2C+Lebanon</x:v>
      </x:c>
      <x:c r="S88" s="30" t="str"/>
      <x:c r="T88" s="30" t="str">
        <x:v>2026-09-07</x:v>
      </x:c>
    </x:row>
    <x:row r="89">
      <x:c r="A89" s="30" t="n">
        <x:v>88</x:v>
      </x:c>
      <x:c r="B89" s="30" t="str">
        <x:v>Sarba</x:v>
      </x:c>
      <x:c r="C89" s="30" t="str">
        <x:v>Al-Dakkak Park &amp; artisan exhibition</x:v>
      </x:c>
      <x:c r="D89" s="30" t="str">
        <x:v>Park / Culture</x:v>
      </x:c>
      <x:c r="E89" s="30" t="str">
        <x:v>Heritage / Culture</x:v>
      </x:c>
      <x:c r="F89" s="30" t="str">
        <x:v>Historical / verify current operation</x:v>
      </x:c>
      <x:c r="G89" s="30" t="str">
        <x:v>Park visit and artisan/craft exhibition area documented in the village.</x:v>
      </x:c>
      <x:c r="H89" s="30" t="str">
        <x:v>Sarba, Nabatieh</x:v>
      </x:c>
      <x:c r="I89" s="30" t="str"/>
      <x:c r="J89" s="32"/>
      <x:c r="K89" s="34"/>
      <x:c r="L89" s="30" t="str"/>
      <x:c r="M89" s="30" t="str">
        <x:v>Current access unknown</x:v>
      </x:c>
      <x:c r="N89" s="30" t="str">
        <x:v>Low</x:v>
      </x:c>
      <x:c r="O89" s="30" t="str">
        <x:v>Exact village</x:v>
      </x:c>
      <x:c r="P89" s="30" t="str">
        <x:v>Destination Lebanon Nabatieh guide</x:v>
      </x:c>
      <x:c r="Q89" s="30" t="str">
        <x:v>https://www.destinationlebanon.com/download-sub/destleb/nabatieh.pdf</x:v>
      </x:c>
      <x:c r="R89" s="30" t="str">
        <x:v>https://www.google.com/maps/search/?api=1&amp;query=Al-Dakkak+Park+%26+artisan+exhibition%2C+Sarba%2C+Lebanon</x:v>
      </x:c>
      <x:c r="S89" s="30" t="str"/>
      <x:c r="T89" s="30" t="str">
        <x:v>2026-09-07</x:v>
      </x:c>
    </x:row>
    <x:row r="90">
      <x:c r="A90" s="30" t="n">
        <x:v>89</x:v>
      </x:c>
      <x:c r="B90" s="30" t="str">
        <x:v>Sarba</x:v>
      </x:c>
      <x:c r="C90" s="30" t="str">
        <x:v>Sarba heritage circuit</x:v>
      </x:c>
      <x:c r="D90" s="30" t="str">
        <x:v>Heritage / Archaeology</x:v>
      </x:c>
      <x:c r="E90" s="30" t="str">
        <x:v>Heritage / Culture</x:v>
      </x:c>
      <x:c r="F90" s="30" t="str">
        <x:v>Timeless / verify access</x:v>
      </x:c>
      <x:c r="G90" s="30" t="str">
        <x:v>Explore documented Arab-Al Citadel remains, the Old Town, caves, heritage houses and other historic remains.</x:v>
      </x:c>
      <x:c r="H90" s="30" t="str">
        <x:v>Sarba, Nabatieh</x:v>
      </x:c>
      <x:c r="I90" s="30" t="str"/>
      <x:c r="J90" s="32"/>
      <x:c r="K90" s="34"/>
      <x:c r="L90" s="30" t="str"/>
      <x:c r="M90" s="30" t="str">
        <x:v>Access unknown</x:v>
      </x:c>
      <x:c r="N90" s="30" t="str">
        <x:v>Medium</x:v>
      </x:c>
      <x:c r="O90" s="30" t="str">
        <x:v>Exact village</x:v>
      </x:c>
      <x:c r="P90" s="30" t="str">
        <x:v>Destination Lebanon Nabatieh guide</x:v>
      </x:c>
      <x:c r="Q90" s="30" t="str">
        <x:v>https://www.destinationlebanon.com/download-sub/destleb/nabatieh.pdf</x:v>
      </x:c>
      <x:c r="R90" s="30" t="str">
        <x:v>https://www.google.com/maps/search/?api=1&amp;query=Sarba+heritage+circuit%2C+Sarba%2C+Lebanon</x:v>
      </x:c>
      <x:c r="S90" s="30" t="str"/>
      <x:c r="T90" s="30" t="str">
        <x:v>2026-09-07</x:v>
      </x:c>
    </x:row>
    <x:row r="91">
      <x:c r="A91" s="30" t="n">
        <x:v>90</x:v>
      </x:c>
      <x:c r="B91" s="30" t="str">
        <x:v>Sarba</x:v>
      </x:c>
      <x:c r="C91" s="30" t="str">
        <x:v>Ain Loulakh Spring</x:v>
      </x:c>
      <x:c r="D91" s="30" t="str">
        <x:v>Nature / Spring</x:v>
      </x:c>
      <x:c r="E91" s="30" t="str">
        <x:v>Nature / Hiking</x:v>
      </x:c>
      <x:c r="F91" s="30" t="str">
        <x:v>Timeless / verify access</x:v>
      </x:c>
      <x:c r="G91" s="30" t="str">
        <x:v>Nature visit / local spring.</x:v>
      </x:c>
      <x:c r="H91" s="30" t="str">
        <x:v>Sarba, Nabatieh</x:v>
      </x:c>
      <x:c r="I91" s="30" t="str"/>
      <x:c r="J91" s="32"/>
      <x:c r="K91" s="34"/>
      <x:c r="L91" s="30" t="str"/>
      <x:c r="M91" s="30" t="str">
        <x:v>Access unknown</x:v>
      </x:c>
      <x:c r="N91" s="30" t="str">
        <x:v>Medium</x:v>
      </x:c>
      <x:c r="O91" s="30" t="str">
        <x:v>Exact village</x:v>
      </x:c>
      <x:c r="P91" s="30" t="str">
        <x:v>Destination Lebanon Nabatieh guide</x:v>
      </x:c>
      <x:c r="Q91" s="30" t="str">
        <x:v>https://www.destinationlebanon.com/download-sub/destleb/nabatieh.pdf</x:v>
      </x:c>
      <x:c r="R91" s="30" t="str">
        <x:v>https://www.google.com/maps/search/?api=1&amp;query=Ain+Loulakh+Spring%2C+Sarba%2C+Lebanon</x:v>
      </x:c>
      <x:c r="S91" s="30" t="str"/>
      <x:c r="T91" s="30" t="str">
        <x:v>2026-09-07</x:v>
      </x:c>
    </x:row>
    <x:row r="92">
      <x:c r="A92" s="30" t="n">
        <x:v>91</x:v>
      </x:c>
      <x:c r="B92" s="30" t="str">
        <x:v>Sarba</x:v>
      </x:c>
      <x:c r="C92" s="30" t="str">
        <x:v>Sarba Pit</x:v>
      </x:c>
      <x:c r="D92" s="30" t="str">
        <x:v>Nature / Geological Feature</x:v>
      </x:c>
      <x:c r="E92" s="30" t="str">
        <x:v>Nature / Hiking</x:v>
      </x:c>
      <x:c r="F92" s="30" t="str">
        <x:v>Timeless / verify access</x:v>
      </x:c>
      <x:c r="G92" s="30" t="str">
        <x:v>Visit a locally documented natural feature known as Sarba Pit.</x:v>
      </x:c>
      <x:c r="H92" s="30" t="str">
        <x:v>Sarba, Nabatieh</x:v>
      </x:c>
      <x:c r="I92" s="30" t="str"/>
      <x:c r="J92" s="32"/>
      <x:c r="K92" s="34"/>
      <x:c r="L92" s="30" t="str"/>
      <x:c r="M92" s="30" t="str">
        <x:v>Access unknown</x:v>
      </x:c>
      <x:c r="N92" s="30" t="str">
        <x:v>Medium</x:v>
      </x:c>
      <x:c r="O92" s="30" t="str">
        <x:v>Exact village</x:v>
      </x:c>
      <x:c r="P92" s="30" t="str">
        <x:v>Destination Lebanon Nabatieh guide</x:v>
      </x:c>
      <x:c r="Q92" s="30" t="str">
        <x:v>https://www.destinationlebanon.com/download-sub/destleb/nabatieh.pdf</x:v>
      </x:c>
      <x:c r="R92" s="30" t="str">
        <x:v>https://www.google.com/maps/search/?api=1&amp;query=Sarba+Pit%2C+Sarba%2C+Lebanon</x:v>
      </x:c>
      <x:c r="S92" s="30" t="str"/>
      <x:c r="T92" s="30" t="str">
        <x:v>2026-09-07</x:v>
      </x:c>
    </x:row>
    <x:row r="93">
      <x:c r="A93" s="30" t="n">
        <x:v>92</x:v>
      </x:c>
      <x:c r="B93" s="30" t="str">
        <x:v>Sarba</x:v>
      </x:c>
      <x:c r="C93" s="30" t="str">
        <x:v>Saydeh Feast (historically Aug. 15)</x:v>
      </x:c>
      <x:c r="D93" s="30" t="str">
        <x:v>Culture / Annual Event</x:v>
      </x:c>
      <x:c r="E93" s="30" t="str">
        <x:v>Heritage / Culture</x:v>
      </x:c>
      <x:c r="F93" s="30" t="str">
        <x:v>Recurring tradition - verify current edition</x:v>
      </x:c>
      <x:c r="G93" s="30" t="str">
        <x:v>Local cultural/religious festival activity historically documented for 15 August.</x:v>
      </x:c>
      <x:c r="H93" s="30" t="str">
        <x:v>Sarba, Nabatieh</x:v>
      </x:c>
      <x:c r="I93" s="30" t="str"/>
      <x:c r="J93" s="32"/>
      <x:c r="K93" s="34"/>
      <x:c r="L93" s="30" t="str"/>
      <x:c r="M93" s="30" t="str">
        <x:v>Public event when held</x:v>
      </x:c>
      <x:c r="N93" s="30" t="str">
        <x:v>Low</x:v>
      </x:c>
      <x:c r="O93" s="30" t="str">
        <x:v>Exact village</x:v>
      </x:c>
      <x:c r="P93" s="30" t="str">
        <x:v>Destination Lebanon Nabatieh guide</x:v>
      </x:c>
      <x:c r="Q93" s="30" t="str">
        <x:v>https://www.destinationlebanon.com/download-sub/destleb/nabatieh.pdf</x:v>
      </x:c>
      <x:c r="R93" s="30" t="str">
        <x:v>https://www.google.com/maps/search/?api=1&amp;query=Saydeh+Feast+%28historically+Aug.+15%29%2C+Sarba%2C+Lebanon</x:v>
      </x:c>
      <x:c r="S93" s="30" t="str"/>
      <x:c r="T93" s="30" t="str">
        <x:v>2026-09-07</x:v>
      </x:c>
    </x:row>
    <x:row r="94">
      <x:c r="A94" s="30" t="n">
        <x:v>93</x:v>
      </x:c>
      <x:c r="B94" s="30" t="str">
        <x:v>Yohmor Al-Shaqif</x:v>
      </x:c>
      <x:c r="C94" s="30" t="str">
        <x:v>ملعب يحمر</x:v>
      </x:c>
      <x:c r="D94" s="30" t="str">
        <x:v>Sports / Playground</x:v>
      </x:c>
      <x:c r="E94" s="30" t="str">
        <x:v>Sports / Fitness</x:v>
      </x:c>
      <x:c r="F94" s="30" t="str">
        <x:v>Active - verified</x:v>
      </x:c>
      <x:c r="G94" s="30" t="str">
        <x:v>Local playground / sports activity.</x:v>
      </x:c>
      <x:c r="H94" s="30" t="str">
        <x:v>8G8C+3F4, Yohmor</x:v>
      </x:c>
      <x:c r="I94" s="30" t="str"/>
      <x:c r="J94" s="32" t="n">
        <x:v>3.5</x:v>
      </x:c>
      <x:c r="K94" s="34" t="n">
        <x:v>44</x:v>
      </x:c>
      <x:c r="L94" s="30" t="str"/>
      <x:c r="M94" s="30" t="str">
        <x:v>Public / check access</x:v>
      </x:c>
      <x:c r="N94" s="30" t="str">
        <x:v>High</x:v>
      </x:c>
      <x:c r="O94" s="30" t="str">
        <x:v>Exact village</x:v>
      </x:c>
      <x:c r="P94" s="30" t="str">
        <x:v>Current local-business listing</x:v>
      </x:c>
      <x:c r="Q94" s="30" t="str">
        <x:v>https://www.google.com/maps/search/?api=1&amp;query=%D9%85%D9%84%D8%B9%D8%A8+%D9%8A%D8%AD%D9%85%D8%B1%2C+Yohmor%2C+Lebanon</x:v>
      </x:c>
      <x:c r="R94" s="30" t="str">
        <x:v>https://www.google.com/maps/search/?api=1&amp;query=%D9%85%D9%84%D8%B9%D8%A8+%D9%8A%D8%AD%D9%85%D8%B1%2C+Yohmor+Al-Shaqif%2C+Lebanon</x:v>
      </x:c>
      <x:c r="S94" s="30" t="str"/>
      <x:c r="T94" s="30" t="str">
        <x:v>2026-09-07</x:v>
      </x:c>
    </x:row>
    <x:row r="95">
      <x:c r="A95" s="30" t="n">
        <x:v>94</x:v>
      </x:c>
      <x:c r="B95" s="30" t="str">
        <x:v>Zawtar Al-Sharqiya</x:v>
      </x:c>
      <x:c r="C95" s="30" t="str">
        <x:v>POWER GYM</x:v>
      </x:c>
      <x:c r="D95" s="30" t="str">
        <x:v>Sports / Gym</x:v>
      </x:c>
      <x:c r="E95" s="30" t="str">
        <x:v>Sports / Fitness</x:v>
      </x:c>
      <x:c r="F95" s="30" t="str">
        <x:v>Permanently closed</x:v>
      </x:c>
      <x:c r="G95" s="30" t="str">
        <x:v>Former gym / fitness activity.</x:v>
      </x:c>
      <x:c r="H95" s="30" t="str">
        <x:v>8FGG+3HC, Zawtar El Charqiyeh</x:v>
      </x:c>
      <x:c r="I95" s="30" t="str">
        <x:v>+961 76 475 390</x:v>
      </x:c>
      <x:c r="J95" s="32" t="n">
        <x:v>5</x:v>
      </x:c>
      <x:c r="K95" s="34" t="n">
        <x:v>1</x:v>
      </x:c>
      <x:c r="L95" s="30" t="str"/>
      <x:c r="M95" s="30" t="str">
        <x:v>Closed</x:v>
      </x:c>
      <x:c r="N95" s="30" t="str">
        <x:v>High</x:v>
      </x:c>
      <x:c r="O95" s="30" t="str">
        <x:v>Exact village</x:v>
      </x:c>
      <x:c r="P95" s="30" t="str">
        <x:v>Current local-business status</x:v>
      </x:c>
      <x:c r="Q95" s="30" t="str">
        <x:v>https://www.google.com/maps/search/?api=1&amp;query=POWER+GYM%2C+Zawtar+El+Charqiyeh%2C+Lebanon</x:v>
      </x:c>
      <x:c r="R95" s="30" t="str">
        <x:v>https://www.google.com/maps/search/?api=1&amp;query=POWER+GYM%2C+Zawtar+Al-Sharqiya%2C+Lebanon</x:v>
      </x:c>
      <x:c r="S95" s="30" t="str"/>
      <x:c r="T95" s="30" t="str">
        <x:v>2026-09-07</x:v>
      </x:c>
    </x:row>
    <x:row r="96">
      <x:c r="A96" s="30" t="n">
        <x:v>95</x:v>
      </x:c>
      <x:c r="B96" s="30" t="str">
        <x:v>Zawtar Al-Gharbiya</x:v>
      </x:c>
      <x:c r="C96" s="30" t="str">
        <x:v>Sawan Resort</x:v>
      </x:c>
      <x:c r="D96" s="30" t="str">
        <x:v>Resort / Pool / Leisure</x:v>
      </x:c>
      <x:c r="E96" s="30" t="str">
        <x:v>Resorts / Pools</x:v>
      </x:c>
      <x:c r="F96" s="30" t="str">
        <x:v>Status conflict</x:v>
      </x:c>
      <x:c r="G96" s="30" t="str">
        <x:v>Accommodation/leisure listings describe private pool, jacuzzi, mountain view, sports field and garden facilities.</x:v>
      </x:c>
      <x:c r="H96" s="30" t="str">
        <x:v>Zawtar El Gharbiyeh</x:v>
      </x:c>
      <x:c r="I96" s="30" t="str">
        <x:v>+961 70 283 657</x:v>
      </x:c>
      <x:c r="J96" s="32" t="n">
        <x:v>4.9</x:v>
      </x:c>
      <x:c r="K96" s="34" t="n">
        <x:v>28</x:v>
      </x:c>
      <x:c r="L96" s="30" t="str"/>
      <x:c r="M96" s="30" t="str">
        <x:v>Commercial / guest-focused</x:v>
      </x:c>
      <x:c r="N96" s="30" t="str">
        <x:v>Medium</x:v>
      </x:c>
      <x:c r="O96" s="30" t="str">
        <x:v>Exact village</x:v>
      </x:c>
      <x:c r="P96" s="30" t="str">
        <x:v>Current map business status + active-looking 2026 Airbnb listings</x:v>
      </x:c>
      <x:c r="Q96" s="30" t="str">
        <x:v>https://www.airbnb.com/s/Zawtar-El-Gharbiyeh--Lebanon/homes</x:v>
      </x:c>
      <x:c r="R96" s="30" t="str">
        <x:v>https://www.google.com/maps/search/?api=1&amp;query=Sawan+Resort%2C+Zawtar+Al-Gharbiya%2C+Lebanon</x:v>
      </x:c>
      <x:c r="S96" s="30" t="str">
        <x:v>Map business listing says permanently closed, while current Airbnb search results still surface Sawan Resort-hosted accommodation. Verify directly.</x:v>
      </x:c>
      <x:c r="T96" s="30" t="str">
        <x:v>2026-09-07</x:v>
      </x:c>
    </x:row>
    <x:row r="97">
      <x:c r="A97" s="30" t="n">
        <x:v>96</x:v>
      </x:c>
      <x:c r="B97" s="30" t="str">
        <x:v>Zibdeen</x:v>
      </x:c>
      <x:c r="C97" s="30" t="str">
        <x:v>Yogini</x:v>
      </x:c>
      <x:c r="D97" s="30" t="str">
        <x:v>Wellness / Yoga</x:v>
      </x:c>
      <x:c r="E97" s="30" t="str">
        <x:v>Sports / Fitness</x:v>
      </x:c>
      <x:c r="F97" s="30" t="str">
        <x:v>Permanently closed</x:v>
      </x:c>
      <x:c r="G97" s="30" t="str">
        <x:v>Former yoga / wellness activity.</x:v>
      </x:c>
      <x:c r="H97" s="30" t="str">
        <x:v>9FC9+6QV, Zebdine</x:v>
      </x:c>
      <x:c r="I97" s="30" t="str">
        <x:v>+961 70 177 751</x:v>
      </x:c>
      <x:c r="J97" s="32" t="n">
        <x:v>4</x:v>
      </x:c>
      <x:c r="K97" s="34" t="n">
        <x:v>2</x:v>
      </x:c>
      <x:c r="L97" s="30" t="str"/>
      <x:c r="M97" s="30" t="str">
        <x:v>Closed</x:v>
      </x:c>
      <x:c r="N97" s="30" t="str">
        <x:v>High</x:v>
      </x:c>
      <x:c r="O97" s="30" t="str">
        <x:v>Exact village</x:v>
      </x:c>
      <x:c r="P97" s="30" t="str">
        <x:v>Current local-business status</x:v>
      </x:c>
      <x:c r="Q97" s="30" t="str">
        <x:v>https://www.google.com/maps/search/?api=1&amp;query=Yogini%2C+Zebdine%2C+Lebanon</x:v>
      </x:c>
      <x:c r="R97" s="30" t="str">
        <x:v>https://www.google.com/maps/search/?api=1&amp;query=Yogini%2C+Zibdeen%2C+Lebanon</x:v>
      </x:c>
      <x:c r="S97" s="30" t="str"/>
      <x:c r="T97" s="30" t="str">
        <x:v>2026-09-07</x:v>
      </x:c>
    </x:row>
    <x:row r="98">
      <x:c r="A98" s="30" t="n">
        <x:v>97</x:v>
      </x:c>
      <x:c r="B98" s="30" t="str">
        <x:v>Zefta</x:v>
      </x:c>
      <x:c r="C98" s="30" t="str">
        <x:v>Reef Zefta Hotel / Resort</x:v>
      </x:c>
      <x:c r="D98" s="30" t="str">
        <x:v>Resort / Pool / Family</x:v>
      </x:c>
      <x:c r="E98" s="30" t="str">
        <x:v>Parks / Family</x:v>
      </x:c>
      <x:c r="F98" s="30" t="str">
        <x:v>Active - verified</x:v>
      </x:c>
      <x:c r="G98" s="30" t="str">
        <x:v>Swimming pools, garden/terrace, children's play areas; current travel listings also describe hiking and table tennis.</x:v>
      </x:c>
      <x:c r="H98" s="30" t="str">
        <x:v>CCV3+VHC, Main Road, Zefta</x:v>
      </x:c>
      <x:c r="I98" s="30" t="str">
        <x:v>+961 70 789 166</x:v>
      </x:c>
      <x:c r="J98" s="32" t="n">
        <x:v>4.2</x:v>
      </x:c>
      <x:c r="K98" s="34" t="n">
        <x:v>128</x:v>
      </x:c>
      <x:c r="L98" s="30" t="str"/>
      <x:c r="M98" s="30" t="str">
        <x:v>Commercial / guest or day-use to verify</x:v>
      </x:c>
      <x:c r="N98" s="30" t="str">
        <x:v>High</x:v>
      </x:c>
      <x:c r="O98" s="30" t="str">
        <x:v>Exact village</x:v>
      </x:c>
      <x:c r="P98" s="30" t="str">
        <x:v>Current local-business listing + Booking.com</x:v>
      </x:c>
      <x:c r="Q98" s="30" t="str">
        <x:v>https://www.booking.com/hotel/lb/reef-zafta.en-gb.html</x:v>
      </x:c>
      <x:c r="R98" s="30" t="str">
        <x:v>https://www.google.com/maps/search/?api=1&amp;query=Reef+Zefta+Hotel+%2F+Resort%2C+Zefta%2C+Lebanon</x:v>
      </x:c>
      <x:c r="S98" s="30" t="str"/>
      <x:c r="T98" s="30" t="str">
        <x:v>2026-09-07</x:v>
      </x:c>
    </x:row>
    <x:row r="99">
      <x:c r="A99" s="30" t="n">
        <x:v>98</x:v>
      </x:c>
      <x:c r="B99" s="30" t="str">
        <x:v>Zefta</x:v>
      </x:c>
      <x:c r="C99" s="30" t="str">
        <x:v>Zefta Horse Riding Club</x:v>
      </x:c>
      <x:c r="D99" s="30" t="str">
        <x:v>Sports / Horse Riding</x:v>
      </x:c>
      <x:c r="E99" s="30" t="str">
        <x:v>Sports / Fitness</x:v>
      </x:c>
      <x:c r="F99" s="30" t="str">
        <x:v>Active - verified</x:v>
      </x:c>
      <x:c r="G99" s="30" t="str">
        <x:v>Horse riding / equestrian activity.</x:v>
      </x:c>
      <x:c r="H99" s="30" t="str">
        <x:v>CCR5+349, Zefta</x:v>
      </x:c>
      <x:c r="I99" s="30" t="str">
        <x:v>+961 70 204 285</x:v>
      </x:c>
      <x:c r="J99" s="32" t="n">
        <x:v>4.9</x:v>
      </x:c>
      <x:c r="K99" s="34" t="n">
        <x:v>8</x:v>
      </x:c>
      <x:c r="L99" s="30" t="str"/>
      <x:c r="M99" s="30" t="str">
        <x:v>Commercial / club</x:v>
      </x:c>
      <x:c r="N99" s="30" t="str">
        <x:v>High</x:v>
      </x:c>
      <x:c r="O99" s="30" t="str">
        <x:v>Exact village</x:v>
      </x:c>
      <x:c r="P99" s="30" t="str">
        <x:v>Current local-business listing</x:v>
      </x:c>
      <x:c r="Q99" s="30" t="str">
        <x:v>https://www.google.com/maps/search/?api=1&amp;query=Zefta+Horse+Riding+Club%2C+Zefta%2C+Lebanon</x:v>
      </x:c>
      <x:c r="R99" s="30" t="str">
        <x:v>https://www.google.com/maps/search/?api=1&amp;query=Zefta+Horse+Riding+Club%2C+Zefta%2C+Lebanon</x:v>
      </x:c>
      <x:c r="S99" s="30" t="str"/>
      <x:c r="T99" s="30" t="str">
        <x:v>2026-09-07</x:v>
      </x:c>
    </x:row>
    <x:row r="100">
      <x:c r="A100" s="30" t="n">
        <x:v>99</x:v>
      </x:c>
      <x:c r="B100" s="30" t="str">
        <x:v>Zefta</x:v>
      </x:c>
      <x:c r="C100" s="30" t="str">
        <x:v>Fitness Club - Fitness</x:v>
      </x:c>
      <x:c r="D100" s="30" t="str">
        <x:v>Sports / Fitness</x:v>
      </x:c>
      <x:c r="E100" s="30" t="str">
        <x:v>Sports / Fitness</x:v>
      </x:c>
      <x:c r="F100" s="30" t="str">
        <x:v>Active - verified</x:v>
      </x:c>
      <x:c r="G100" s="30" t="str">
        <x:v>Sports / fitness activity.</x:v>
      </x:c>
      <x:c r="H100" s="30" t="str">
        <x:v>CCV3+886, Zefta</x:v>
      </x:c>
      <x:c r="I100" s="30" t="str"/>
      <x:c r="J100" s="32" t="n">
        <x:v>4.1</x:v>
      </x:c>
      <x:c r="K100" s="34" t="n">
        <x:v>9</x:v>
      </x:c>
      <x:c r="L100" s="30" t="str"/>
      <x:c r="M100" s="30" t="str">
        <x:v>Commercial</x:v>
      </x:c>
      <x:c r="N100" s="30" t="str">
        <x:v>High</x:v>
      </x:c>
      <x:c r="O100" s="30" t="str">
        <x:v>Exact village</x:v>
      </x:c>
      <x:c r="P100" s="30" t="str">
        <x:v>Current local-business listing</x:v>
      </x:c>
      <x:c r="Q100" s="30" t="str">
        <x:v>https://www.google.com/maps/search/?api=1&amp;query=Fitness+Club+-+Fitness%2C+Zefta%2C+Lebanon</x:v>
      </x:c>
      <x:c r="R100" s="30" t="str">
        <x:v>https://www.google.com/maps/search/?api=1&amp;query=Fitness+Club+-+Fitness%2C+Zefta%2C+Lebanon</x:v>
      </x:c>
      <x:c r="S100" s="30" t="str"/>
      <x:c r="T100" s="30" t="str">
        <x:v>2026-09-07</x:v>
      </x:c>
    </x:row>
  </x:sheetData>
  <x:conditionalFormatting sqref="F2:F100">
    <x:cfRule type="expression" dxfId="0" priority="1">
      <x:formula>OR(F2="Active - verified",F2="Active listing",F2="Current public garden")</x:formula>
    </x:cfRule>
    <x:cfRule type="expression" dxfId="1" priority="2">
      <x:formula>OR(F2="Timeless / verify access",F2="Heritage site - verify current access",F2="Current trail evidence",F2="Current directory listing")</x:formula>
    </x:cfRule>
    <x:cfRule type="expression" dxfId="2" priority="3">
      <x:formula>OR(F2="Project - verify completion",F2="Current project / community facility",F2="Historical / verify current operation",F2="Recurring tradition - verify current edition")</x:formula>
    </x:cfRule>
    <x:cfRule type="expression" dxfId="3" priority="4">
      <x:formula>OR(F2="Permanently closed",F2="Temporarily closed",F2="Status conflict")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30ee87ddd46484d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8" hidden="0" customWidth="1"/>
    <x:col min="3" max="3" width="32" hidden="0" customWidth="1"/>
    <x:col min="4" max="4" width="66" hidden="0" customWidth="1"/>
  </x:cols>
  <x:sheetData>
    <x:row r="1">
      <x:c r="A1" s="26" t="str">
        <x:v>Original #</x:v>
      </x:c>
      <x:c r="B1" s="26" t="str">
        <x:v>Original User Entry</x:v>
      </x:c>
      <x:c r="C1" s="26" t="str">
        <x:v>Canonical Research Unit</x:v>
      </x:c>
      <x:c r="D1" s="26" t="str">
        <x:v>Normalization Note</x:v>
      </x:c>
    </x:row>
    <x:row r="2">
      <x:c r="A2" s="30" t="n">
        <x:v>1</x:v>
      </x:c>
      <x:c r="B2" s="30" t="str">
        <x:v>Adchit</x:v>
      </x:c>
      <x:c r="C2" s="30" t="str">
        <x:v>Adchit</x:v>
      </x:c>
      <x:c r="D2" s="30" t="str"/>
    </x:row>
    <x:row r="3">
      <x:c r="A3" s="30" t="n">
        <x:v>2</x:v>
      </x:c>
      <x:c r="B3" s="30" t="str">
        <x:v>Ain Qana</x:v>
      </x:c>
      <x:c r="C3" s="30" t="str">
        <x:v>Ain Qana</x:v>
      </x:c>
      <x:c r="D3" s="30" t="str"/>
    </x:row>
    <x:row r="4">
      <x:c r="A4" s="30" t="n">
        <x:v>3</x:v>
      </x:c>
      <x:c r="B4" s="30" t="str">
        <x:v>Ansar</x:v>
      </x:c>
      <x:c r="C4" s="30" t="str">
        <x:v>Ansar</x:v>
      </x:c>
      <x:c r="D4" s="30" t="str"/>
    </x:row>
    <x:row r="5">
      <x:c r="A5" s="30" t="n">
        <x:v>4</x:v>
      </x:c>
      <x:c r="B5" s="30" t="str">
        <x:v>Arabsalim</x:v>
      </x:c>
      <x:c r="C5" s="30" t="str">
        <x:v>Arabsalim</x:v>
      </x:c>
      <x:c r="D5" s="30" t="str"/>
    </x:row>
    <x:row r="6">
      <x:c r="A6" s="30" t="n">
        <x:v>5</x:v>
      </x:c>
      <x:c r="B6" s="30" t="str">
        <x:v>Arnoun</x:v>
      </x:c>
      <x:c r="C6" s="30" t="str">
        <x:v>Arnoun</x:v>
      </x:c>
      <x:c r="D6" s="30" t="str"/>
    </x:row>
    <x:row r="7">
      <x:c r="A7" s="30" t="n">
        <x:v>6</x:v>
      </x:c>
      <x:c r="B7" s="30" t="str">
        <x:v>Bariqaa / Breikaa</x:v>
      </x:c>
      <x:c r="C7" s="30" t="str">
        <x:v>Bariqaa / Breikaa</x:v>
      </x:c>
      <x:c r="D7" s="30" t="str"/>
    </x:row>
    <x:row r="8">
      <x:c r="A8" s="30" t="n">
        <x:v>7</x:v>
      </x:c>
      <x:c r="B8" s="30" t="str">
        <x:v>Al-Sharqiya</x:v>
      </x:c>
      <x:c r="C8" s="30" t="str">
        <x:v>Al-Sharqiya</x:v>
      </x:c>
      <x:c r="D8" s="30" t="str"/>
    </x:row>
    <x:row r="9">
      <x:c r="A9" s="30" t="n">
        <x:v>8</x:v>
      </x:c>
      <x:c r="B9" s="30" t="str">
        <x:v>Choukeen</x:v>
      </x:c>
      <x:c r="C9" s="30" t="str">
        <x:v>Choukeen</x:v>
      </x:c>
      <x:c r="D9" s="30" t="str"/>
    </x:row>
    <x:row r="10">
      <x:c r="A10" s="30" t="n">
        <x:v>9</x:v>
      </x:c>
      <x:c r="B10" s="30" t="str">
        <x:v>Deir Al-Zahrani</x:v>
      </x:c>
      <x:c r="C10" s="30" t="str">
        <x:v>Deir Al-Zahrani</x:v>
      </x:c>
      <x:c r="D10" s="30" t="str"/>
    </x:row>
    <x:row r="11">
      <x:c r="A11" s="30" t="n">
        <x:v>10</x:v>
      </x:c>
      <x:c r="B11" s="30" t="str">
        <x:v>Doueir</x:v>
      </x:c>
      <x:c r="C11" s="30" t="str">
        <x:v>Doueir</x:v>
      </x:c>
      <x:c r="D11" s="30" t="str"/>
    </x:row>
    <x:row r="12">
      <x:c r="A12" s="30" t="n">
        <x:v>11</x:v>
      </x:c>
      <x:c r="B12" s="30" t="str">
        <x:v>Aaba / Ebba</x:v>
      </x:c>
      <x:c r="C12" s="30" t="str">
        <x:v>Aaba / Ebba</x:v>
      </x:c>
      <x:c r="D12" s="30" t="str"/>
    </x:row>
    <x:row r="13">
      <x:c r="A13" s="30" t="n">
        <x:v>12</x:v>
      </x:c>
      <x:c r="B13" s="30" t="str">
        <x:v>Habbouch</x:v>
      </x:c>
      <x:c r="C13" s="30" t="str">
        <x:v>Habbouch</x:v>
      </x:c>
      <x:c r="D13" s="30" t="str"/>
    </x:row>
    <x:row r="14">
      <x:c r="A14" s="30" t="n">
        <x:v>13</x:v>
      </x:c>
      <x:c r="B14" s="30" t="str">
        <x:v>Harouf</x:v>
      </x:c>
      <x:c r="C14" s="30" t="str">
        <x:v>Harouf</x:v>
      </x:c>
      <x:c r="D14" s="30" t="str"/>
    </x:row>
    <x:row r="15">
      <x:c r="A15" s="30" t="n">
        <x:v>14</x:v>
      </x:c>
      <x:c r="B15" s="30" t="str">
        <x:v>Houmine Al-Fawqa</x:v>
      </x:c>
      <x:c r="C15" s="30" t="str">
        <x:v>Houmine Al-Fawqa</x:v>
      </x:c>
      <x:c r="D15" s="30" t="str"/>
    </x:row>
    <x:row r="16">
      <x:c r="A16" s="30" t="n">
        <x:v>15</x:v>
      </x:c>
      <x:c r="B16" s="30" t="str">
        <x:v>Houmine Al-Tahta</x:v>
      </x:c>
      <x:c r="C16" s="30" t="str">
        <x:v>Houmine Al-Tahta</x:v>
      </x:c>
      <x:c r="D16" s="30" t="str"/>
    </x:row>
    <x:row r="17">
      <x:c r="A17" s="30" t="n">
        <x:v>16</x:v>
      </x:c>
      <x:c r="B17" s="30" t="str">
        <x:v>Jarjouh / Jargea</x:v>
      </x:c>
      <x:c r="C17" s="30" t="str">
        <x:v>Jarjouh / Jargea</x:v>
      </x:c>
      <x:c r="D17" s="30" t="str"/>
    </x:row>
    <x:row r="18">
      <x:c r="A18" s="30" t="n">
        <x:v>17</x:v>
      </x:c>
      <x:c r="B18" s="30" t="str">
        <x:v>Jbaa–Ain Bouswar</x:v>
      </x:c>
      <x:c r="C18" s="30" t="str">
        <x:v>Jbaa–Ain Bouswar</x:v>
      </x:c>
      <x:c r="D18" s="30" t="str"/>
    </x:row>
    <x:row r="19">
      <x:c r="A19" s="30" t="n">
        <x:v>18</x:v>
      </x:c>
      <x:c r="B19" s="30" t="str">
        <x:v>Jibchit</x:v>
      </x:c>
      <x:c r="C19" s="30" t="str">
        <x:v>Jibchit</x:v>
      </x:c>
      <x:c r="D19" s="30" t="str"/>
    </x:row>
    <x:row r="20">
      <x:c r="A20" s="30" t="n">
        <x:v>19</x:v>
      </x:c>
      <x:c r="B20" s="30" t="str">
        <x:v>Kaakaiyet Al-Jisr</x:v>
      </x:c>
      <x:c r="C20" s="30" t="str">
        <x:v>Kaakaiyet Al-Jisr</x:v>
      </x:c>
      <x:c r="D20" s="30" t="str"/>
    </x:row>
    <x:row r="21">
      <x:c r="A21" s="30" t="n">
        <x:v>20</x:v>
      </x:c>
      <x:c r="B21" s="30" t="str">
        <x:v>Kafr Fila</x:v>
      </x:c>
      <x:c r="C21" s="30" t="str">
        <x:v>Kafr Fila</x:v>
      </x:c>
      <x:c r="D21" s="30" t="str"/>
    </x:row>
    <x:row r="22">
      <x:c r="A22" s="30" t="n">
        <x:v>21</x:v>
      </x:c>
      <x:c r="B22" s="30" t="str">
        <x:v>Kafr Roummane</x:v>
      </x:c>
      <x:c r="C22" s="30" t="str">
        <x:v>Kafr Roummane</x:v>
      </x:c>
      <x:c r="D22" s="30" t="str"/>
    </x:row>
    <x:row r="23">
      <x:c r="A23" s="30" t="n">
        <x:v>22</x:v>
      </x:c>
      <x:c r="B23" s="30" t="str">
        <x:v>Kafr Sir</x:v>
      </x:c>
      <x:c r="C23" s="30" t="str">
        <x:v>Kafr Sir</x:v>
      </x:c>
      <x:c r="D23" s="30" t="str"/>
    </x:row>
    <x:row r="24">
      <x:c r="A24" s="30" t="n">
        <x:v>23</x:v>
      </x:c>
      <x:c r="B24" s="30" t="str">
        <x:v>Kafr Tibnit</x:v>
      </x:c>
      <x:c r="C24" s="30" t="str">
        <x:v>Kafr Tibnit</x:v>
      </x:c>
      <x:c r="D24" s="30" t="str"/>
    </x:row>
    <x:row r="25">
      <x:c r="A25" s="30" t="n">
        <x:v>24</x:v>
      </x:c>
      <x:c r="B25" s="30" t="str">
        <x:v>Al-Kfour</x:v>
      </x:c>
      <x:c r="C25" s="30" t="str">
        <x:v>Al-Kfour</x:v>
      </x:c>
      <x:c r="D25" s="30" t="str"/>
    </x:row>
    <x:row r="26">
      <x:c r="A26" s="30" t="n">
        <x:v>25</x:v>
      </x:c>
      <x:c r="B26" s="30" t="str">
        <x:v>Al-Qsaybeh</x:v>
      </x:c>
      <x:c r="C26" s="30" t="str">
        <x:v>Al-Qsaybeh</x:v>
      </x:c>
      <x:c r="D26" s="30" t="str"/>
    </x:row>
    <x:row r="27">
      <x:c r="A27" s="30" t="n">
        <x:v>26</x:v>
      </x:c>
      <x:c r="B27" s="30" t="str">
        <x:v>Mayfadoun</x:v>
      </x:c>
      <x:c r="C27" s="30" t="str">
        <x:v>Mayfadoun</x:v>
      </x:c>
      <x:c r="D27" s="30" t="str"/>
    </x:row>
    <x:row r="28">
      <x:c r="A28" s="30" t="n">
        <x:v>27</x:v>
      </x:c>
      <x:c r="B28" s="30" t="str">
        <x:v>Nabatieh</x:v>
      </x:c>
      <x:c r="C28" s="30" t="str">
        <x:v>Nabatieh</x:v>
      </x:c>
      <x:c r="D28" s="30" t="str">
        <x:v>Wider city bucket.</x:v>
      </x:c>
    </x:row>
    <x:row r="29">
      <x:c r="A29" s="30" t="n">
        <x:v>28</x:v>
      </x:c>
      <x:c r="B29" s="30" t="str">
        <x:v>Nabatieh Al-Fawqa</x:v>
      </x:c>
      <x:c r="C29" s="30" t="str">
        <x:v>Nabatieh Al-Fawqa</x:v>
      </x:c>
      <x:c r="D29" s="30" t="str">
        <x:v>Urban sub-area.</x:v>
      </x:c>
    </x:row>
    <x:row r="30">
      <x:c r="A30" s="30" t="n">
        <x:v>29</x:v>
      </x:c>
      <x:c r="B30" s="30" t="str">
        <x:v>Nemriyeh</x:v>
      </x:c>
      <x:c r="C30" s="30" t="str">
        <x:v>Nemriyeh</x:v>
      </x:c>
      <x:c r="D30" s="30" t="str"/>
    </x:row>
    <x:row r="31">
      <x:c r="A31" s="30" t="n">
        <x:v>30</x:v>
      </x:c>
      <x:c r="B31" s="30" t="str">
        <x:v>Roumine</x:v>
      </x:c>
      <x:c r="C31" s="30" t="str">
        <x:v>Roumine</x:v>
      </x:c>
      <x:c r="D31" s="30" t="str"/>
    </x:row>
    <x:row r="32">
      <x:c r="A32" s="30" t="n">
        <x:v>31</x:v>
      </x:c>
      <x:c r="B32" s="30" t="str">
        <x:v>Sarba</x:v>
      </x:c>
      <x:c r="C32" s="30" t="str">
        <x:v>Sarba</x:v>
      </x:c>
      <x:c r="D32" s="30" t="str"/>
    </x:row>
    <x:row r="33">
      <x:c r="A33" s="30" t="n">
        <x:v>32</x:v>
      </x:c>
      <x:c r="B33" s="30" t="str">
        <x:v>Seen / Siney</x:v>
      </x:c>
      <x:c r="C33" s="30" t="str">
        <x:v>Seen / Siney</x:v>
      </x:c>
      <x:c r="D33" s="30" t="str"/>
    </x:row>
    <x:row r="34">
      <x:c r="A34" s="30" t="n">
        <x:v>33</x:v>
      </x:c>
      <x:c r="B34" s="30" t="str">
        <x:v>Sir Al-Gharbiyeh</x:v>
      </x:c>
      <x:c r="C34" s="30" t="str">
        <x:v>Sir Al-Gharbiyeh</x:v>
      </x:c>
      <x:c r="D34" s="30" t="str"/>
    </x:row>
    <x:row r="35">
      <x:c r="A35" s="30" t="n">
        <x:v>34</x:v>
      </x:c>
      <x:c r="B35" s="30" t="str">
        <x:v>Yohmor Al-Shaqif</x:v>
      </x:c>
      <x:c r="C35" s="30" t="str">
        <x:v>Yohmor Al-Shaqif</x:v>
      </x:c>
      <x:c r="D35" s="30" t="str"/>
    </x:row>
    <x:row r="36">
      <x:c r="A36" s="30" t="n">
        <x:v>35</x:v>
      </x:c>
      <x:c r="B36" s="30" t="str">
        <x:v>Zawtar Al-Sharqiya</x:v>
      </x:c>
      <x:c r="C36" s="30" t="str">
        <x:v>Zawtar Al-Sharqiya</x:v>
      </x:c>
      <x:c r="D36" s="30" t="str"/>
    </x:row>
    <x:row r="37">
      <x:c r="A37" s="30" t="n">
        <x:v>36</x:v>
      </x:c>
      <x:c r="B37" s="30" t="str">
        <x:v>Zawtar Al-Gharbiya</x:v>
      </x:c>
      <x:c r="C37" s="30" t="str">
        <x:v>Zawtar Al-Gharbiya</x:v>
      </x:c>
      <x:c r="D37" s="30" t="str"/>
    </x:row>
    <x:row r="38">
      <x:c r="A38" s="30" t="n">
        <x:v>37</x:v>
      </x:c>
      <x:c r="B38" s="30" t="str">
        <x:v>Zibdeen</x:v>
      </x:c>
      <x:c r="C38" s="30" t="str">
        <x:v>Zibdeen</x:v>
      </x:c>
      <x:c r="D38" s="30" t="str"/>
    </x:row>
    <x:row r="39">
      <x:c r="A39" s="30" t="n">
        <x:v>38</x:v>
      </x:c>
      <x:c r="B39" s="30" t="str">
        <x:v>Zefta</x:v>
      </x:c>
      <x:c r="C39" s="30" t="str">
        <x:v>Zefta</x:v>
      </x:c>
      <x:c r="D39" s="30" t="str"/>
    </x:row>
    <x:row r="40">
      <x:c r="A40" s="30" t="n">
        <x:v>39</x:v>
      </x:c>
      <x:c r="B40" s="30" t="str">
        <x:v>Ezza</x:v>
      </x:c>
      <x:c r="C40" s="30" t="str">
        <x:v>Ezza</x:v>
      </x:c>
      <x:c r="D40" s="30" t="str"/>
    </x:row>
    <x:row r="41">
      <x:c r="A41" s="30" t="n">
        <x:v>40</x:v>
      </x:c>
      <x:c r="B41" s="30" t="str">
        <x:v>Rumine</x:v>
      </x:c>
      <x:c r="C41" s="30" t="str">
        <x:v>Roumine</x:v>
      </x:c>
      <x:c r="D41" s="30" t="str">
        <x:v>Duplicate / alternate spelling of Roumine.</x:v>
      </x:c>
    </x:row>
    <x:row r="42">
      <x:c r="A42" s="30" t="n">
        <x:v>41</x:v>
      </x:c>
      <x:c r="B42" s="30" t="str">
        <x:v>Ain Qana</x:v>
      </x:c>
      <x:c r="C42" s="30" t="str">
        <x:v>Ain Qana</x:v>
      </x:c>
      <x:c r="D42" s="30" t="str">
        <x:v>Duplicate entry in original list.</x:v>
      </x:c>
    </x:row>
    <x:row r="43">
      <x:c r="A43" s="30" t="n">
        <x:v>42</x:v>
      </x:c>
      <x:c r="B43" s="30" t="str">
        <x:v>Nabatieh Al-Tahta / central Nabatieh</x:v>
      </x:c>
      <x:c r="C43" s="30" t="str">
        <x:v>Nabatieh Al-Tahta</x:v>
      </x:c>
      <x:c r="D43" s="30" t="str">
        <x:v>Al-Tahta retained as sub-area; 'central Nabatieh' overlaps wider city.</x:v>
      </x:c>
    </x:row>
  </x:sheetData>
  <x:pageMargins left="0.7" right="0.7" top="0.75" bottom="0.75" header="0.3" footer="0.3"/>
  <x:tableParts count="1">
    <x:tablePart xmlns:r="http://schemas.openxmlformats.org/officeDocument/2006/relationships" r:id="R824935feb56d4f56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54" hidden="0" customWidth="1"/>
    <x:col min="3" max="3" width="62" hidden="0" customWidth="1"/>
    <x:col min="4" max="4" width="72" hidden="0" customWidth="1"/>
  </x:cols>
  <x:sheetData>
    <x:row r="1">
      <x:c r="A1" s="26" t="str">
        <x:v>Canonical Locality</x:v>
      </x:c>
      <x:c r="B1" s="26" t="str">
        <x:v>Current Result</x:v>
      </x:c>
      <x:c r="C1" s="26" t="str">
        <x:v>Interpretation</x:v>
      </x:c>
      <x:c r="D1" s="26" t="str">
        <x:v>Research Note</x:v>
      </x:c>
    </x:row>
    <x:row r="2">
      <x:c r="A2" s="30" t="str">
        <x:v>Adchit</x:v>
      </x:c>
      <x:c r="B2" s="30" t="str">
        <x:v>No named public activity securely verified in this pass.</x:v>
      </x:c>
      <x:c r="C2" s="30" t="str">
        <x:v>This means 'not publicly verifiable online', not 'nothing exists physically'.</x:v>
      </x:c>
      <x:c r="D2" s="30" t="str">
        <x:v>No separate public activity venue was verified beyond restaurant/café businesses. Nearby Beaufort attractions belong to Arnoun.</x:v>
      </x:c>
    </x:row>
    <x:row r="3">
      <x:c r="A3" s="30" t="str">
        <x:v>Al-Sharqiya</x:v>
      </x:c>
      <x:c r="B3" s="30" t="str">
        <x:v>No named public activity securely verified in this pass.</x:v>
      </x:c>
      <x:c r="C3" s="30" t="str">
        <x:v>This means 'not publicly verifiable online', not 'nothing exists physically'.</x:v>
      </x:c>
      <x:c r="D3" s="30" t="str">
        <x:v>No exact public park, attraction, sports venue or visitor activity was securely verified; nearby Nabatieh results were excluded.</x:v>
      </x:c>
    </x:row>
    <x:row r="4">
      <x:c r="A4" s="30" t="str">
        <x:v>Choukeen</x:v>
      </x:c>
      <x:c r="B4" s="30" t="str">
        <x:v>No named public activity securely verified in this pass.</x:v>
      </x:c>
      <x:c r="C4" s="30" t="str">
        <x:v>This means 'not publicly verifiable online', not 'nothing exists physically'.</x:v>
      </x:c>
      <x:c r="D4" s="30" t="str">
        <x:v>No exact named activity/attraction securely verified in current searches; nearby city results were excluded.</x:v>
      </x:c>
    </x:row>
    <x:row r="5">
      <x:c r="A5" s="30" t="str">
        <x:v>Aaba / Ebba</x:v>
      </x:c>
      <x:c r="B5" s="30" t="str">
        <x:v>No named public activity securely verified in this pass.</x:v>
      </x:c>
      <x:c r="C5" s="30" t="str">
        <x:v>This means 'not publicly verifiable online', not 'nothing exists physically'.</x:v>
      </x:c>
      <x:c r="D5" s="30" t="str">
        <x:v>No exact named public activity venue securely verified in current searches.</x:v>
      </x:c>
    </x:row>
    <x:row r="6">
      <x:c r="A6" s="30" t="str">
        <x:v>Houmine Al-Tahta</x:v>
      </x:c>
      <x:c r="B6" s="30" t="str">
        <x:v>No named public activity securely verified in this pass.</x:v>
      </x:c>
      <x:c r="C6" s="30" t="str">
        <x:v>This means 'not publicly verifiable online', not 'nothing exists physically'.</x:v>
      </x:c>
      <x:c r="D6" s="30" t="str">
        <x:v>No exact named public activity/attraction securely verified in current searches.</x:v>
      </x:c>
    </x:row>
    <x:row r="7">
      <x:c r="A7" s="30" t="str">
        <x:v>Al-Qsaybeh</x:v>
      </x:c>
      <x:c r="B7" s="30" t="str">
        <x:v>No named public activity securely verified in this pass.</x:v>
      </x:c>
      <x:c r="C7" s="30" t="str">
        <x:v>This means 'not publicly verifiable online', not 'nothing exists physically'.</x:v>
      </x:c>
      <x:c r="D7" s="30" t="str">
        <x:v>No exact named public attraction or sports/family venue securely verified; nearby Qsaybeh restaurant results were not counted as activities.</x:v>
      </x:c>
    </x:row>
    <x:row r="8">
      <x:c r="A8" s="30" t="str">
        <x:v>Mayfadoun</x:v>
      </x:c>
      <x:c r="B8" s="30" t="str">
        <x:v>No named public activity securely verified in this pass.</x:v>
      </x:c>
      <x:c r="C8" s="30" t="str">
        <x:v>This means 'not publicly verifiable online', not 'nothing exists physically'.</x:v>
      </x:c>
      <x:c r="D8" s="30" t="str">
        <x:v>No exact named public activity/attraction securely verified; radius-based nearby results were excluded.</x:v>
      </x:c>
    </x:row>
    <x:row r="9">
      <x:c r="A9" s="30" t="str">
        <x:v>Nemriyeh</x:v>
      </x:c>
      <x:c r="B9" s="30" t="str">
        <x:v>No named public activity securely verified in this pass.</x:v>
      </x:c>
      <x:c r="C9" s="30" t="str">
        <x:v>This means 'not publicly verifiable online', not 'nothing exists physically'.</x:v>
      </x:c>
      <x:c r="D9" s="30" t="str">
        <x:v>No exact named public activity/attraction securely verified in current searches.</x:v>
      </x:c>
    </x:row>
    <x:row r="10">
      <x:c r="A10" s="30" t="str">
        <x:v>Seen / Siney</x:v>
      </x:c>
      <x:c r="B10" s="30" t="str">
        <x:v>No named public activity securely verified in this pass.</x:v>
      </x:c>
      <x:c r="C10" s="30" t="str">
        <x:v>This means 'not publicly verifiable online', not 'nothing exists physically'.</x:v>
      </x:c>
      <x:c r="D10" s="30" t="str">
        <x:v>No exact named public activity/attraction securely verified in current searches.</x:v>
      </x:c>
    </x:row>
    <x:row r="11">
      <x:c r="A11" s="30" t="str">
        <x:v>Sir Al-Gharbiyeh</x:v>
      </x:c>
      <x:c r="B11" s="30" t="str">
        <x:v>No named public activity securely verified in this pass.</x:v>
      </x:c>
      <x:c r="C11" s="30" t="str">
        <x:v>This means 'not publicly verifiable online', not 'nothing exists physically'.</x:v>
      </x:c>
      <x:c r="D11" s="30" t="str">
        <x:v>No exact named public activity/attraction securely verified; similarly named localities elsewhere in Lebanon were excluded.</x:v>
      </x:c>
    </x:row>
    <x:row r="12">
      <x:c r="A12" s="30" t="str">
        <x:v>Ezza</x:v>
      </x:c>
      <x:c r="B12" s="30" t="str">
        <x:v>No named public activity securely verified in this pass.</x:v>
      </x:c>
      <x:c r="C12" s="30" t="str">
        <x:v>This means 'not publicly verifiable online', not 'nothing exists physically'.</x:v>
      </x:c>
      <x:c r="D12" s="30" t="str">
        <x:v>No exact named public activity/attraction securely verified in current searches.</x:v>
      </x:c>
    </x:row>
    <x:row r="13">
      <x:c r="A13" s="30" t="str">
        <x:v>Nabatieh Al-Tahta</x:v>
      </x:c>
      <x:c r="B13" s="30" t="str">
        <x:v>No named public activity securely verified in this pass.</x:v>
      </x:c>
      <x:c r="C13" s="30" t="str">
        <x:v>This means 'not publicly verifiable online', not 'nothing exists physically'.</x:v>
      </x:c>
      <x:c r="D13" s="30" t="str">
        <x:v>No activity was assigned solely to Al-Tahta with strong enough current locality evidence; The Spot and other citywide activities remain under Nabatieh to avoid double counting.</x:v>
      </x:c>
    </x:row>
  </x:sheetData>
  <x:pageMargins left="0.7" right="0.7" top="0.75" bottom="0.75" header="0.3" footer="0.3"/>
  <x:tableParts count="1">
    <x:tablePart xmlns:r="http://schemas.openxmlformats.org/officeDocument/2006/relationships" r:id="R18a6e199ba6741cc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58" hidden="0" customWidth="1"/>
    <x:col min="3" max="3" width="62" hidden="0" customWidth="1"/>
    <x:col min="4" max="4" width="58" hidden="0" customWidth="1"/>
  </x:cols>
  <x:sheetData>
    <x:row r="1">
      <x:c r="A1" s="26" t="str">
        <x:v>Source / Source Class</x:v>
      </x:c>
      <x:c r="B1" s="26" t="str">
        <x:v>URL</x:v>
      </x:c>
      <x:c r="C1" s="26" t="str">
        <x:v>Use in Research</x:v>
      </x:c>
      <x:c r="D1" s="26" t="str">
        <x:v>Important Limitation</x:v>
      </x:c>
    </x:row>
    <x:row r="2">
      <x:c r="A2" s="30" t="str">
        <x:v>Lebanese DGLAC municipality database</x:v>
      </x:c>
      <x:c r="B2" s="30" t="str">
        <x:v>https://www.dglac.gov.lb/en/municipalities</x:v>
      </x:c>
      <x:c r="C2" s="30" t="str">
        <x:v>Canonical village/locality names and district membership.</x:v>
      </x:c>
      <x:c r="D2" s="30" t="str">
        <x:v>Government geography source; not an attractions directory.</x:v>
      </x:c>
    </x:row>
    <x:row r="3">
      <x:c r="A3" s="30" t="str">
        <x:v>Current local-business / map listings</x:v>
      </x:c>
      <x:c r="B3" s="30" t="str">
        <x:v>https://www.google.com/maps/</x:v>
      </x:c>
      <x:c r="C3" s="30" t="str">
        <x:v>Current parks, gyms, resorts, pools, sports venues, playgrounds, ratings, hours and closure status.</x:v>
      </x:c>
      <x:c r="D3" s="30" t="str">
        <x:v>Map results can use nearby-city labels; exact address was required before assignment.</x:v>
      </x:c>
    </x:row>
    <x:row r="4">
      <x:c r="A4" s="30" t="str">
        <x:v>Destination Lebanon — Nabatieh guide</x:v>
      </x:c>
      <x:c r="B4" s="30" t="str">
        <x:v>https://www.destinationlebanon.com/download-sub/destleb/nabatieh.pdf</x:v>
      </x:c>
      <x:c r="C4" s="30" t="str">
        <x:v>Heritage, archaeology, springs, woods and other long-lived features in smaller villages.</x:v>
      </x:c>
      <x:c r="D4" s="30" t="str">
        <x:v>Older guide; used only for timeless features or historical leads, never as proof a commercial venue is currently open.</x:v>
      </x:c>
    </x:row>
    <x:row r="5">
      <x:c r="A5" s="30" t="str">
        <x:v>EU Delegation / EEAS — Ain Qana</x:v>
      </x:c>
      <x:c r="B5" s="30" t="str">
        <x:v>https://www.eeas.europa.eu/delegations/lebanon/forward-lebanon-mini-football-court-ain-qana_und_vi</x:v>
      </x:c>
      <x:c r="C5" s="30" t="str">
        <x:v>Ain Qana mini-football court, academy/tournament context.</x:v>
      </x:c>
      <x:c r="D5" s="30" t="str">
        <x:v>Project article; check current scheduling/access locally.</x:v>
      </x:c>
    </x:row>
    <x:row r="6">
      <x:c r="A6" s="30" t="str">
        <x:v>Al-Amir Resort official site</x:v>
      </x:c>
      <x:c r="B6" s="30" t="str">
        <x:v>https://www.alamir-resort.com/</x:v>
      </x:c>
      <x:c r="C6" s="30" t="str">
        <x:v>Ansar resort, pool/playground/family facilities.</x:v>
      </x:c>
      <x:c r="D6" s="30" t="str">
        <x:v>Commercial access may depend on booking/events.</x:v>
      </x:c>
    </x:row>
    <x:row r="7">
      <x:c r="A7" s="30" t="str">
        <x:v>Wikiloc — Jarjouaa</x:v>
      </x:c>
      <x:c r="B7" s="30" t="str">
        <x:v>https://www.wikiloc.com/trails/hiking/lebanon/nabatiye/jarjouaa</x:v>
      </x:c>
      <x:c r="C7" s="30" t="str">
        <x:v>Current trail-discovery evidence around Jarjouaa.</x:v>
      </x:c>
      <x:c r="D7" s="30" t="str">
        <x:v>User-generated route data; trail conditions and access can change.</x:v>
      </x:c>
    </x:row>
    <x:row r="8">
      <x:c r="A8" s="30" t="str">
        <x:v>Wikiloc — Jbaa Nabatieh</x:v>
      </x:c>
      <x:c r="B8" s="30" t="str">
        <x:v>https://www.wikiloc.com/trails/hiking/lebanon/nabatiye/jbaa</x:v>
      </x:c>
      <x:c r="C8" s="30" t="str">
        <x:v>Current hiking-route discovery for the correct Jbaa in Nabatieh.</x:v>
      </x:c>
      <x:c r="D8" s="30" t="str">
        <x:v>User-generated routes; Jbaa Al-Shouf sources were excluded.</x:v>
      </x:c>
    </x:row>
    <x:row r="9">
      <x:c r="A9" s="30" t="str">
        <x:v>An-Nahar — Nabatieh public gardens</x:v>
      </x:c>
      <x:c r="B9" s="30" t="str">
        <x:v>https://www.annahar.com/arabic/section/77-%D9%85%D8%AC%D8%AA%D9%85%D8%B9/09072022113511266</x:v>
      </x:c>
      <x:c r="C9" s="30" t="str">
        <x:v>Corroboration that Nabatieh municipality developed multiple public gardens.</x:v>
      </x:c>
      <x:c r="D9" s="30" t="str">
        <x:v>2022 article; map listings used for current venue evidence.</x:v>
      </x:c>
    </x:row>
    <x:row r="10">
      <x:c r="A10" s="30" t="str">
        <x:v>Daleeeel — The Spot Nabatieh</x:v>
      </x:c>
      <x:c r="B10" s="30" t="str">
        <x:v>https://www.daleeeel.com/en-lb/location/6630/the-spot-mall-nabatieh/places-inside/</x:v>
      </x:c>
      <x:c r="C10" s="30" t="str">
        <x:v>Mall tenant / entertainment context.</x:v>
      </x:c>
      <x:c r="D10" s="30" t="str">
        <x:v>Tenant mix can change; current map listing used for mall status.</x:v>
      </x:c>
    </x:row>
    <x:row r="11">
      <x:c r="A11" s="30" t="str">
        <x:v>Booking.com — Reef Zefta</x:v>
      </x:c>
      <x:c r="B11" s="30" t="str">
        <x:v>https://www.booking.com/hotel/lb/reef-zafta.en-gb.html</x:v>
      </x:c>
      <x:c r="C11" s="30" t="str">
        <x:v>Current resort facilities such as pools, garden and play areas.</x:v>
      </x:c>
      <x:c r="D11" s="30" t="str">
        <x:v>Facility/access rules can change by season and booking type.</x:v>
      </x:c>
    </x:row>
  </x:sheetData>
  <x:pageMargins left="0.7" right="0.7" top="0.75" bottom="0.75" header="0.3" footer="0.3"/>
  <x:tableParts count="1">
    <x:tablePart xmlns:r="http://schemas.openxmlformats.org/officeDocument/2006/relationships" r:id="R011db3cada434cb3"/>
  </x:tableParts>
</x:worksheet>
</file>