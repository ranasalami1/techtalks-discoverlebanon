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rea Summary" sheetId="2" state="visible" r:id="rId4"/>
    <sheet name="Food &amp; Drink" sheetId="3" state="visible" r:id="rId5"/>
    <sheet name="Activities" sheetId="4" state="visible" r:id="rId6"/>
    <sheet name="Locality Summary" sheetId="5" state="visible" r:id="rId7"/>
    <sheet name="Area Definitions" sheetId="6" state="visible" r:id="rId8"/>
    <sheet name="Method &amp;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<sst xmlns="http://schemas.openxmlformats.org/spreadsheetml/2006/main" count="3585" uniqueCount="1125">
  <si>
    <t xml:space="preserve">Discover Lebanon - Zone 2: Keserwan &amp; Jbeil</t>
  </si>
  <si>
    <t xml:space="preserve">Jounieh - Harissa - Faraya - Byblos - Aqoura  |  Public evidence checked 2026-09-10</t>
  </si>
  <si>
    <t xml:space="preserve">Scope</t>
  </si>
  <si>
    <t xml:space="preserve">Restaurants, coffee shops, bars and bakeries, plus activities and visitable places: heritage, museums, nature, snow sports, adventure, beaches and festivals.</t>
  </si>
  <si>
    <t xml:space="preserve">KPI</t>
  </si>
  <si>
    <t xml:space="preserve">Value</t>
  </si>
  <si>
    <t xml:space="preserve">Area</t>
  </si>
  <si>
    <t xml:space="preserve">Food</t>
  </si>
  <si>
    <t xml:space="preserve">Activities</t>
  </si>
  <si>
    <t xml:space="preserve">Geographic rule</t>
  </si>
  <si>
    <t xml:space="preserve">Every record carries an Exact Locality. Kaslik, Zouk Mosbeh, Ghazir, Amchit, Annaya, Faqra and Mzaar are never silently merged into a city name.</t>
  </si>
  <si>
    <t xml:space="preserve">Areas researched</t>
  </si>
  <si>
    <t xml:space="preserve">Jounieh</t>
  </si>
  <si>
    <t xml:space="preserve">Harissa rule</t>
  </si>
  <si>
    <t xml:space="preserve">Harissa is treated as its own area even though it sits administratively above Jounieh, because its venues serve the shrine and the cable car.</t>
  </si>
  <si>
    <t xml:space="preserve">Food &amp; drink records</t>
  </si>
  <si>
    <t xml:space="preserve">Harissa</t>
  </si>
  <si>
    <t xml:space="preserve">Aqoura rule</t>
  </si>
  <si>
    <t xml:space="preserve">Aqoura is a high-mountain destination with thin commercial coverage. Few dining records is a finding, not a gap.</t>
  </si>
  <si>
    <t xml:space="preserve">Activity records</t>
  </si>
  <si>
    <t xml:space="preserve">Faraya</t>
  </si>
  <si>
    <t xml:space="preserve">Evidence rule</t>
  </si>
  <si>
    <t xml:space="preserve">Ratings and review counts are only recorded where a public review platform actually publishes them. Blank means unknown, never estimated.</t>
  </si>
  <si>
    <t xml:space="preserve">Localities represented</t>
  </si>
  <si>
    <t xml:space="preserve">Byblos</t>
  </si>
  <si>
    <t xml:space="preserve">Confidence</t>
  </si>
  <si>
    <t xml:space="preserve">High = review-platform data or a well-established venue. Medium = current directory listing. Low = listing exists but is thin; verify before relying on it.</t>
  </si>
  <si>
    <t xml:space="preserve">Records with public rating</t>
  </si>
  <si>
    <t xml:space="preserve">Aqoura</t>
  </si>
  <si>
    <t xml:space="preserve">High-confidence records</t>
  </si>
  <si>
    <t xml:space="preserve">Geographic Scope</t>
  </si>
  <si>
    <t xml:space="preserve">Food Records</t>
  </si>
  <si>
    <t xml:space="preserve">Activity Records</t>
  </si>
  <si>
    <t xml:space="preserve">High Confidence</t>
  </si>
  <si>
    <t xml:space="preserve">Rated Venues</t>
  </si>
  <si>
    <t xml:space="preserve">Localities</t>
  </si>
  <si>
    <t xml:space="preserve">Research Note</t>
  </si>
  <si>
    <t xml:space="preserve">Jounieh bay city + Kaslik, Sarba, Maameltein, Haret Sakher, Zouk Mosbeh, Ghazir, Adma, Kfarhbab</t>
  </si>
  <si>
    <t xml:space="preserve">Coastal Keserwan. Exact Locality separates Jounieh city proper from the Kaslik/Zouk university strip and the Ghazir hillside.</t>
  </si>
  <si>
    <t xml:space="preserve">Harissa - Daraoun pilgrimage plateau above Jounieh</t>
  </si>
  <si>
    <t xml:space="preserve">Small plateau; almost every venue is tied to the shrine, the teleferique station or the ridge viewpoints.</t>
  </si>
  <si>
    <t xml:space="preserve">Kfardebian municipality: Faraya village, Faqra, Mzaar ski area</t>
  </si>
  <si>
    <t xml:space="preserve">Faraya is the common name; Kfardebian is the administrative one. Faqra and Mzaar are kept as separate localities.</t>
  </si>
  <si>
    <t xml:space="preserve">Byblos/Jbeil city, old port and souk, Byblos Sud, plus Amchit and Annaya</t>
  </si>
  <si>
    <t xml:space="preserve">Byblos city core is UNESCO-listed. Amchit and Annaya are neighbouring towns, never merged into 'Byblos city'.</t>
  </si>
  <si>
    <t xml:space="preserve">Aaqoura village, Afqa, upper Adonis (Nahr Ibrahim) valley, Laqlouq approach</t>
  </si>
  <si>
    <t xml:space="preserve">High-mountain Jbeil district. Thin commercial coverage by design - this is a nature and heritage destination.</t>
  </si>
  <si>
    <t xml:space="preserve">ID</t>
  </si>
  <si>
    <t xml:space="preserve">Exact Locality</t>
  </si>
  <si>
    <t xml:space="preserve">Venue Name</t>
  </si>
  <si>
    <t xml:space="preserve">Type / Cuisine</t>
  </si>
  <si>
    <t xml:space="preserve">Status</t>
  </si>
  <si>
    <t xml:space="preserve">Rating</t>
  </si>
  <si>
    <t xml:space="preserve">Reviews</t>
  </si>
  <si>
    <t xml:space="preserve">Evidence</t>
  </si>
  <si>
    <t xml:space="preserve">Source URL</t>
  </si>
  <si>
    <t xml:space="preserve">Map / Search Link</t>
  </si>
  <si>
    <t xml:space="preserve">Notes</t>
  </si>
  <si>
    <t xml:space="preserve">Last Checked</t>
  </si>
  <si>
    <t xml:space="preserve">Byblos city / old port</t>
  </si>
  <si>
    <t xml:space="preserve">Malena</t>
  </si>
  <si>
    <t xml:space="preserve">Lebanese - Seafood</t>
  </si>
  <si>
    <t xml:space="preserve">Open</t>
  </si>
  <si>
    <t xml:space="preserve">High</t>
  </si>
  <si>
    <t xml:space="preserve">Review-rated listing</t>
  </si>
  <si>
    <t xml:space="preserve">https://www.tripadvisor.com/Restaurants-g298264-Byblos_Mount_Lebanon_Governorate.html</t>
  </si>
  <si>
    <t xml:space="preserve">https://www.google.com/maps/search/?api=1&amp;query=Malena%2C+Byblos+city+%2F+old+port%2C+Lebanon</t>
  </si>
  <si>
    <t xml:space="preserve">Garden restaurant at the old port; Lebanese-Italian crossover, the highest-reviewed table in town.</t>
  </si>
  <si>
    <t xml:space="preserve">2026-09-10</t>
  </si>
  <si>
    <t xml:space="preserve">Byblos city</t>
  </si>
  <si>
    <t xml:space="preserve">Feniqia</t>
  </si>
  <si>
    <t xml:space="preserve">Lebanese - Mediterranean</t>
  </si>
  <si>
    <t xml:space="preserve">https://www.google.com/maps/search/?api=1&amp;query=Feniqia%2C+Byblos+city%2C+Lebanon</t>
  </si>
  <si>
    <t xml:space="preserve">Largest review base in Byblos; classic mezze and grills.</t>
  </si>
  <si>
    <t xml:space="preserve">Mina Jbeil (old port)</t>
  </si>
  <si>
    <t xml:space="preserve">Bab El-Mina</t>
  </si>
  <si>
    <t xml:space="preserve">https://www.google.com/maps/search/?api=1&amp;query=Bab+El-Mina%2C+Mina+Jbeil+%28old+port%29%2C+Lebanon</t>
  </si>
  <si>
    <t xml:space="preserve">Port-front institution; catch-of-the-day fish beside the crusader castle.</t>
  </si>
  <si>
    <t xml:space="preserve">Byblos city / seafront</t>
  </si>
  <si>
    <t xml:space="preserve">Babel sur Mer</t>
  </si>
  <si>
    <t xml:space="preserve">https://www.google.com/maps/search/?api=1&amp;query=Babel+sur+Mer%2C+Byblos+city+%2F+seafront%2C+Lebanon</t>
  </si>
  <si>
    <t xml:space="preserve">Sea-facing branch of the Babel group.</t>
  </si>
  <si>
    <t xml:space="preserve">Haven - The Cabin</t>
  </si>
  <si>
    <t xml:space="preserve">Cafe - Bar</t>
  </si>
  <si>
    <t xml:space="preserve">https://www.tripadvisor.com/Restaurants-g298264-c8-Byblos_Mount_Lebanon_Governorate.html</t>
  </si>
  <si>
    <t xml:space="preserve">https://www.google.com/maps/search/?api=1&amp;query=Haven+-+The+Cabin%2C+Byblos+city%2C+Lebanon</t>
  </si>
  <si>
    <t xml:space="preserve">Highest-rated cafe in Byblos; coffee, salads and a wide view.</t>
  </si>
  <si>
    <t xml:space="preserve">Pepe Abed Street</t>
  </si>
  <si>
    <t xml:space="preserve">Locanda - A la Granda</t>
  </si>
  <si>
    <t xml:space="preserve">Lebanese - International</t>
  </si>
  <si>
    <t xml:space="preserve">https://www.google.com/maps/search/?api=1&amp;query=Locanda+-+A+la+Granda%2C+Pepe+Abed+Street%2C+Lebanon</t>
  </si>
  <si>
    <t xml:space="preserve">Balcony tables over the old town; fusion menu.</t>
  </si>
  <si>
    <t xml:space="preserve">Kami</t>
  </si>
  <si>
    <t xml:space="preserve">Japanese - Seafood</t>
  </si>
  <si>
    <t xml:space="preserve">https://www.google.com/maps/search/?api=1&amp;query=Kami%2C+Byblos+city%2C+Lebanon</t>
  </si>
  <si>
    <t xml:space="preserve">Sushi and sashimi; the strongest Japanese kitchen in the zone.</t>
  </si>
  <si>
    <t xml:space="preserve">Aal Baher</t>
  </si>
  <si>
    <t xml:space="preserve">https://www.google.com/maps/search/?api=1&amp;query=Aal+Baher%2C+Byblos+city+%2F+seafront%2C+Lebanon</t>
  </si>
  <si>
    <t xml:space="preserve">Straightforward seafront fish house.</t>
  </si>
  <si>
    <t xml:space="preserve">Annaya</t>
  </si>
  <si>
    <t xml:space="preserve">Kanater Annaya Restaurant</t>
  </si>
  <si>
    <t xml:space="preserve">https://www.google.com/maps/search/?api=1&amp;query=Kanater+Annaya+Restaurant%2C+Annaya%2C+Lebanon</t>
  </si>
  <si>
    <t xml:space="preserve">Highest-rated table in the area; on the pilgrimage road to St Charbel.</t>
  </si>
  <si>
    <t xml:space="preserve">Chez Pepe (Pepe Abed)</t>
  </si>
  <si>
    <t xml:space="preserve">https://www.google.com/maps/search/?api=1&amp;query=Chez+Pepe+%28Pepe+Abed%29%2C+Mina+Jbeil+%28old+port%29%2C+Lebanon</t>
  </si>
  <si>
    <t xml:space="preserve">The historic fishing-club restaurant; more landmark than fine dining.</t>
  </si>
  <si>
    <t xml:space="preserve">Sapori E Vini</t>
  </si>
  <si>
    <t xml:space="preserve">Italian</t>
  </si>
  <si>
    <t xml:space="preserve">https://www.google.com/maps/search/?api=1&amp;query=Sapori+E+Vini%2C+Byblos+city%2C+Lebanon</t>
  </si>
  <si>
    <t xml:space="preserve">Italian kitchen and wine list.</t>
  </si>
  <si>
    <t xml:space="preserve">Adonai Le Petit Libanais</t>
  </si>
  <si>
    <t xml:space="preserve">Lebanese</t>
  </si>
  <si>
    <t xml:space="preserve">https://www.google.com/maps/search/?api=1&amp;query=Adonai+Le+Petit+Libanais%2C+Byblos+city%2C+Lebanon</t>
  </si>
  <si>
    <t xml:space="preserve">Small traditional Lebanese room.</t>
  </si>
  <si>
    <t xml:space="preserve">Mon Maki A Moi</t>
  </si>
  <si>
    <t xml:space="preserve">Japanese - Sushi</t>
  </si>
  <si>
    <t xml:space="preserve">https://www.google.com/maps/search/?api=1&amp;query=Mon+Maki+A+Moi%2C+Byblos+city%2C+Lebanon</t>
  </si>
  <si>
    <t xml:space="preserve">Sushi bar.</t>
  </si>
  <si>
    <t xml:space="preserve">Roman Sea Road</t>
  </si>
  <si>
    <t xml:space="preserve">Malak Al Baher</t>
  </si>
  <si>
    <t xml:space="preserve">Seafood</t>
  </si>
  <si>
    <t xml:space="preserve">Medium</t>
  </si>
  <si>
    <t xml:space="preserve">Current city dining guide</t>
  </si>
  <si>
    <t xml:space="preserve">https://artandthensome.com/best-restaurants-in-jbeil/</t>
  </si>
  <si>
    <t xml:space="preserve">https://www.google.com/maps/search/?api=1&amp;query=Malak+Al+Baher%2C+Roman+Sea+Road%2C+Lebanon</t>
  </si>
  <si>
    <t xml:space="preserve">Stone house by the sea; daily catch and garden seating.</t>
  </si>
  <si>
    <t xml:space="preserve">Byblos Sud</t>
  </si>
  <si>
    <t xml:space="preserve">Grecco</t>
  </si>
  <si>
    <t xml:space="preserve">Greek - Mediterranean</t>
  </si>
  <si>
    <t xml:space="preserve">https://www.google.com/maps/search/?api=1&amp;query=Grecco%2C+Byblos+Sud%2C+Lebanon</t>
  </si>
  <si>
    <t xml:space="preserve">Whitewashed seaside Greek; grilled fish and salads.</t>
  </si>
  <si>
    <t xml:space="preserve">Un Petit Gato</t>
  </si>
  <si>
    <t xml:space="preserve">Bakery - French patisserie</t>
  </si>
  <si>
    <t xml:space="preserve">https://www.google.com/maps/search/?api=1&amp;query=Un+Petit+Gato%2C+Byblos+city%2C+Lebanon</t>
  </si>
  <si>
    <t xml:space="preserve">Dessert boutique.</t>
  </si>
  <si>
    <t xml:space="preserve">NewYorker Cup</t>
  </si>
  <si>
    <t xml:space="preserve">Coffee &amp; Tea</t>
  </si>
  <si>
    <t xml:space="preserve">https://www.google.com/maps/search/?api=1&amp;query=NewYorker+Cup%2C+Byblos+city%2C+Lebanon</t>
  </si>
  <si>
    <t xml:space="preserve">Neighbourhood coffee bar.</t>
  </si>
  <si>
    <t xml:space="preserve">Bint El Chalabiya</t>
  </si>
  <si>
    <t xml:space="preserve">Lebanese - Cafe</t>
  </si>
  <si>
    <t xml:space="preserve">https://www.google.com/maps/search/?api=1&amp;query=Bint+El+Chalabiya%2C+Byblos+city%2C+Lebanon</t>
  </si>
  <si>
    <t xml:space="preserve">Lebanese cafe-restaurant.</t>
  </si>
  <si>
    <t xml:space="preserve">Mhanna Sur Mer</t>
  </si>
  <si>
    <t xml:space="preserve">Restaurant</t>
  </si>
  <si>
    <t xml:space="preserve">Local directory listing</t>
  </si>
  <si>
    <t xml:space="preserve">https://wenrayhin.com/en/towns/byblos/food_drink</t>
  </si>
  <si>
    <t xml:space="preserve">https://www.google.com/maps/search/?api=1&amp;query=Mhanna+Sur+Mer%2C+Byblos+city+%2F+seafront%2C+Lebanon</t>
  </si>
  <si>
    <t xml:space="preserve">Black Barn</t>
  </si>
  <si>
    <t xml:space="preserve">https://www.google.com/maps/search/?api=1&amp;query=Black+Barn%2C+Byblos+city%2C+Lebanon</t>
  </si>
  <si>
    <t xml:space="preserve">BDP Beach</t>
  </si>
  <si>
    <t xml:space="preserve">Beach restaurant</t>
  </si>
  <si>
    <t xml:space="preserve">https://www.google.com/maps/search/?api=1&amp;query=BDP+Beach%2C+Byblos+city%2C+Lebanon</t>
  </si>
  <si>
    <t xml:space="preserve">Seasonal beach venue - verify opening months.</t>
  </si>
  <si>
    <t xml:space="preserve">Byblos Fun Planet</t>
  </si>
  <si>
    <t xml:space="preserve">Family restaurant</t>
  </si>
  <si>
    <t xml:space="preserve">https://www.google.com/maps/search/?api=1&amp;query=Byblos+Fun+Planet%2C+Byblos+city%2C+Lebanon</t>
  </si>
  <si>
    <t xml:space="preserve">Doubles as a family entertainment venue.</t>
  </si>
  <si>
    <t xml:space="preserve">Roadster Diner</t>
  </si>
  <si>
    <t xml:space="preserve">American diner - chain</t>
  </si>
  <si>
    <t xml:space="preserve">https://www.google.com/maps/search/?api=1&amp;query=Roadster+Diner%2C+Byblos+city%2C+Lebanon</t>
  </si>
  <si>
    <t xml:space="preserve">Babel Bahr</t>
  </si>
  <si>
    <t xml:space="preserve">https://www.google.com/maps/search/?api=1&amp;query=Babel+Bahr%2C+Byblos+city%2C+Lebanon</t>
  </si>
  <si>
    <t xml:space="preserve">El Molino</t>
  </si>
  <si>
    <t xml:space="preserve">https://www.google.com/maps/search/?api=1&amp;query=El+Molino%2C+Byblos+city%2C+Lebanon</t>
  </si>
  <si>
    <t xml:space="preserve">MuN</t>
  </si>
  <si>
    <t xml:space="preserve">https://www.google.com/maps/search/?api=1&amp;query=MuN%2C+Byblos+city%2C+Lebanon</t>
  </si>
  <si>
    <t xml:space="preserve">Stephano</t>
  </si>
  <si>
    <t xml:space="preserve">https://www.google.com/maps/search/?api=1&amp;query=Stephano%2C+Byblos+city%2C+Lebanon</t>
  </si>
  <si>
    <t xml:space="preserve">Se</t>
  </si>
  <si>
    <t xml:space="preserve">Low</t>
  </si>
  <si>
    <t xml:space="preserve">https://www.google.com/maps/search/?api=1&amp;query=Se%2C+Byblos+city%2C+Lebanon</t>
  </si>
  <si>
    <t xml:space="preserve">Short name - confirm exact branding on site.</t>
  </si>
  <si>
    <t xml:space="preserve">Brouhaha Intown</t>
  </si>
  <si>
    <t xml:space="preserve">https://www.google.com/maps/search/?api=1&amp;query=Brouhaha+Intown%2C+Byblos+city%2C+Lebanon</t>
  </si>
  <si>
    <t xml:space="preserve">Beit Nazha</t>
  </si>
  <si>
    <t xml:space="preserve">Traditional Lebanese</t>
  </si>
  <si>
    <t xml:space="preserve">https://www.google.com/maps/search/?api=1&amp;query=Beit+Nazha%2C+Byblos+city%2C+Lebanon</t>
  </si>
  <si>
    <t xml:space="preserve">e Baladi</t>
  </si>
  <si>
    <t xml:space="preserve">https://www.google.com/maps/search/?api=1&amp;query=e+Baladi%2C+Byblos+city%2C+Lebanon</t>
  </si>
  <si>
    <t xml:space="preserve">Ksar Lebanese Diner</t>
  </si>
  <si>
    <t xml:space="preserve">https://www.google.com/maps/search/?api=1&amp;query=Ksar+Lebanese+Diner%2C+Byblos+city%2C+Lebanon</t>
  </si>
  <si>
    <t xml:space="preserve">Byblos souk</t>
  </si>
  <si>
    <t xml:space="preserve">Malak Al Tawouk</t>
  </si>
  <si>
    <t xml:space="preserve">Street food - chicken</t>
  </si>
  <si>
    <t xml:space="preserve">https://www.google.com/maps/search/?api=1&amp;query=Malak+Al+Tawouk%2C+Byblos+souk%2C+Lebanon</t>
  </si>
  <si>
    <t xml:space="preserve">Zaatar w Zeit</t>
  </si>
  <si>
    <t xml:space="preserve">Street food - chain</t>
  </si>
  <si>
    <t xml:space="preserve">https://www.google.com/maps/search/?api=1&amp;query=Zaatar+w+Zeit%2C+Byblos+city%2C+Lebanon</t>
  </si>
  <si>
    <t xml:space="preserve">Four Guys London</t>
  </si>
  <si>
    <t xml:space="preserve">Street food - burgers</t>
  </si>
  <si>
    <t xml:space="preserve">https://www.google.com/maps/search/?api=1&amp;query=Four+Guys+London%2C+Byblos+city%2C+Lebanon</t>
  </si>
  <si>
    <t xml:space="preserve">Richeese</t>
  </si>
  <si>
    <t xml:space="preserve">https://www.google.com/maps/search/?api=1&amp;query=Richeese%2C+Byblos+city%2C+Lebanon</t>
  </si>
  <si>
    <t xml:space="preserve">Burger King</t>
  </si>
  <si>
    <t xml:space="preserve">https://www.google.com/maps/search/?api=1&amp;query=Burger+King%2C+Byblos+city%2C+Lebanon</t>
  </si>
  <si>
    <t xml:space="preserve">Bachir Ice Cream</t>
  </si>
  <si>
    <t xml:space="preserve">Dessert</t>
  </si>
  <si>
    <t xml:space="preserve">https://www.google.com/maps/search/?api=1&amp;query=Bachir+Ice+Cream%2C+Byblos+city%2C+Lebanon</t>
  </si>
  <si>
    <t xml:space="preserve">Wooden Bakery</t>
  </si>
  <si>
    <t xml:space="preserve">Bakery - chain</t>
  </si>
  <si>
    <t xml:space="preserve">https://www.google.com/maps/search/?api=1&amp;query=Wooden+Bakery%2C+Byblos+city%2C+Lebanon</t>
  </si>
  <si>
    <t xml:space="preserve">Moulin d'Or</t>
  </si>
  <si>
    <t xml:space="preserve">https://www.google.com/maps/search/?api=1&amp;query=Moulin+d%27Or%2C+Byblos+city%2C+Lebanon</t>
  </si>
  <si>
    <t xml:space="preserve">L'abeille D'or</t>
  </si>
  <si>
    <t xml:space="preserve">Bakery</t>
  </si>
  <si>
    <t xml:space="preserve">https://www.google.com/maps/search/?api=1&amp;query=L%27abeille+D%27or%2C+Byblos+city%2C+Lebanon</t>
  </si>
  <si>
    <t xml:space="preserve">Sibon</t>
  </si>
  <si>
    <t xml:space="preserve">https://www.google.com/maps/search/?api=1&amp;query=Sibon%2C+Byblos+city%2C+Lebanon</t>
  </si>
  <si>
    <t xml:space="preserve">Al Khabaz Bakery</t>
  </si>
  <si>
    <t xml:space="preserve">https://www.google.com/maps/search/?api=1&amp;query=Al+Khabaz+Bakery%2C+Byblos+city%2C+Lebanon</t>
  </si>
  <si>
    <t xml:space="preserve">Domaine du Forgeron</t>
  </si>
  <si>
    <t xml:space="preserve">Winery</t>
  </si>
  <si>
    <t xml:space="preserve">https://www.google.com/maps/search/?api=1&amp;query=Domaine+du+Forgeron%2C+Byblos+city%2C+Lebanon</t>
  </si>
  <si>
    <t xml:space="preserve">Winery with tasting - call ahead.</t>
  </si>
  <si>
    <t xml:space="preserve">Byblos old town</t>
  </si>
  <si>
    <t xml:space="preserve">La Storia</t>
  </si>
  <si>
    <t xml:space="preserve">Bar</t>
  </si>
  <si>
    <t xml:space="preserve">https://www.google.com/maps/search/?api=1&amp;query=La+Storia%2C+Byblos+old+town%2C+Lebanon</t>
  </si>
  <si>
    <t xml:space="preserve">Garden By La Storia</t>
  </si>
  <si>
    <t xml:space="preserve">Bar - garden</t>
  </si>
  <si>
    <t xml:space="preserve">https://www.google.com/maps/search/?api=1&amp;query=Garden+By+La+Storia%2C+Byblos+old+town%2C+Lebanon</t>
  </si>
  <si>
    <t xml:space="preserve">Chapter 1</t>
  </si>
  <si>
    <t xml:space="preserve">https://www.google.com/maps/search/?api=1&amp;query=Chapter+1%2C+Byblos+old+town%2C+Lebanon</t>
  </si>
  <si>
    <t xml:space="preserve">Ivy Social Club</t>
  </si>
  <si>
    <t xml:space="preserve">https://www.google.com/maps/search/?api=1&amp;query=Ivy+Social+Club%2C+Byblos+old+town%2C+Lebanon</t>
  </si>
  <si>
    <t xml:space="preserve">Kina Handcrafted Bar</t>
  </si>
  <si>
    <t xml:space="preserve">Cocktail bar</t>
  </si>
  <si>
    <t xml:space="preserve">https://www.google.com/maps/search/?api=1&amp;query=Kina+Handcrafted+Bar%2C+Byblos+old+town%2C+Lebanon</t>
  </si>
  <si>
    <t xml:space="preserve">Old Pub Cafe &amp; Pub</t>
  </si>
  <si>
    <t xml:space="preserve">Pub</t>
  </si>
  <si>
    <t xml:space="preserve">https://www.google.com/maps/search/?api=1&amp;query=Old+Pub+Cafe+%26+Pub%2C+Byblos+old+town%2C+Lebanon</t>
  </si>
  <si>
    <t xml:space="preserve">Little Byblos Cafe</t>
  </si>
  <si>
    <t xml:space="preserve">Cafe - bar</t>
  </si>
  <si>
    <t xml:space="preserve">https://www.google.com/maps/search/?api=1&amp;query=Little+Byblos+Cafe%2C+Byblos+old+town%2C+Lebanon</t>
  </si>
  <si>
    <t xml:space="preserve">Terrassa Byblos</t>
  </si>
  <si>
    <t xml:space="preserve">Bar - terrace</t>
  </si>
  <si>
    <t xml:space="preserve">https://www.google.com/maps/search/?api=1&amp;query=Terrassa+Byblos%2C+Byblos+city%2C+Lebanon</t>
  </si>
  <si>
    <t xml:space="preserve">Ape Lounge Bar</t>
  </si>
  <si>
    <t xml:space="preserve">https://www.google.com/maps/search/?api=1&amp;query=Ape+Lounge+Bar%2C+Byblos+city%2C+Lebanon</t>
  </si>
  <si>
    <t xml:space="preserve">Be Lapaz</t>
  </si>
  <si>
    <t xml:space="preserve">https://www.google.com/maps/search/?api=1&amp;query=Be+Lapaz%2C+Byblos+city%2C+Lebanon</t>
  </si>
  <si>
    <t xml:space="preserve">Morelia</t>
  </si>
  <si>
    <t xml:space="preserve">https://www.google.com/maps/search/?api=1&amp;query=Morelia%2C+Byblos+city%2C+Lebanon</t>
  </si>
  <si>
    <t xml:space="preserve">Oasis</t>
  </si>
  <si>
    <t xml:space="preserve">https://www.google.com/maps/search/?api=1&amp;query=Oasis%2C+Byblos+city%2C+Lebanon</t>
  </si>
  <si>
    <t xml:space="preserve">Space Coffee Bar</t>
  </si>
  <si>
    <t xml:space="preserve">https://www.google.com/maps/search/?api=1&amp;query=Space+Coffee+Bar%2C+Byblos+city%2C+Lebanon</t>
  </si>
  <si>
    <t xml:space="preserve">Stories - Jbeil</t>
  </si>
  <si>
    <t xml:space="preserve">Cafe</t>
  </si>
  <si>
    <t xml:space="preserve">https://www.google.com/maps/search/?api=1&amp;query=Stories+-+Jbeil%2C+Byblos+city%2C+Lebanon</t>
  </si>
  <si>
    <t xml:space="preserve">Thinkers C.C.C</t>
  </si>
  <si>
    <t xml:space="preserve">Cafe - co-working</t>
  </si>
  <si>
    <t xml:space="preserve">https://www.google.com/maps/search/?api=1&amp;query=Thinkers+C.C.C%2C+Byblos+city%2C+Lebanon</t>
  </si>
  <si>
    <t xml:space="preserve">Vee Coffee Shop Jbeil</t>
  </si>
  <si>
    <t xml:space="preserve">https://www.google.com/maps/search/?api=1&amp;query=Vee+Coffee+Shop+Jbeil%2C+Byblos+city%2C+Lebanon</t>
  </si>
  <si>
    <t xml:space="preserve">Railway</t>
  </si>
  <si>
    <t xml:space="preserve">https://www.google.com/maps/search/?api=1&amp;query=Railway%2C+Byblos+city%2C+Lebanon</t>
  </si>
  <si>
    <t xml:space="preserve">Dice &amp; Bites</t>
  </si>
  <si>
    <t xml:space="preserve">Cafe - board games</t>
  </si>
  <si>
    <t xml:space="preserve">https://www.google.com/maps/search/?api=1&amp;query=Dice+%26+Bites%2C+Byblos+city%2C+Lebanon</t>
  </si>
  <si>
    <t xml:space="preserve">EddeYard</t>
  </si>
  <si>
    <t xml:space="preserve">https://www.google.com/maps/search/?api=1&amp;query=EddeYard%2C+Byblos+city%2C+Lebanon</t>
  </si>
  <si>
    <t xml:space="preserve">Starbucks</t>
  </si>
  <si>
    <t xml:space="preserve">Cafe - chain</t>
  </si>
  <si>
    <t xml:space="preserve">https://www.google.com/maps/search/?api=1&amp;query=Starbucks%2C+Byblos+city%2C+Lebanon</t>
  </si>
  <si>
    <t xml:space="preserve">Dunkin'</t>
  </si>
  <si>
    <t xml:space="preserve">https://www.google.com/maps/search/?api=1&amp;query=Dunkin%27%2C+Byblos+city%2C+Lebanon</t>
  </si>
  <si>
    <t xml:space="preserve">Frenzy Fun Center</t>
  </si>
  <si>
    <t xml:space="preserve">Cafe - family</t>
  </si>
  <si>
    <t xml:space="preserve">https://www.google.com/maps/search/?api=1&amp;query=Frenzy+Fun+Center%2C+Byblos+city%2C+Lebanon</t>
  </si>
  <si>
    <t xml:space="preserve">Amchit</t>
  </si>
  <si>
    <t xml:space="preserve">Pearl Island Restaurant</t>
  </si>
  <si>
    <t xml:space="preserve">https://wenrayhin.com/en/towns/aamchit/food_drink</t>
  </si>
  <si>
    <t xml:space="preserve">https://www.google.com/maps/search/?api=1&amp;query=Pearl+Island+Restaurant%2C+Amchit%2C+Lebanon</t>
  </si>
  <si>
    <t xml:space="preserve">Karakand Sea Food</t>
  </si>
  <si>
    <t xml:space="preserve">https://www.google.com/maps/search/?api=1&amp;query=Karakand+Sea+Food%2C+Amchit%2C+Lebanon</t>
  </si>
  <si>
    <t xml:space="preserve">Bar del Mar by Palms</t>
  </si>
  <si>
    <t xml:space="preserve">Beach restaurant - bar</t>
  </si>
  <si>
    <t xml:space="preserve">https://www.google.com/maps/search/?api=1&amp;query=Bar+del+Mar+by+Palms%2C+Amchit%2C+Lebanon</t>
  </si>
  <si>
    <t xml:space="preserve">Seasonal beach club.</t>
  </si>
  <si>
    <t xml:space="preserve">Mashawi Firas</t>
  </si>
  <si>
    <t xml:space="preserve">Grill</t>
  </si>
  <si>
    <t xml:space="preserve">https://www.google.com/maps/search/?api=1&amp;query=Mashawi+Firas%2C+Amchit%2C+Lebanon</t>
  </si>
  <si>
    <t xml:space="preserve">Nero Resto Bar</t>
  </si>
  <si>
    <t xml:space="preserve">Resto-bar</t>
  </si>
  <si>
    <t xml:space="preserve">https://www.google.com/maps/search/?api=1&amp;query=Nero+Resto+Bar%2C+Amchit%2C+Lebanon</t>
  </si>
  <si>
    <t xml:space="preserve">MARINAS Lounge Bar</t>
  </si>
  <si>
    <t xml:space="preserve">https://www.google.com/maps/search/?api=1&amp;query=MARINAS+Lounge+Bar%2C+Amchit%2C+Lebanon</t>
  </si>
  <si>
    <t xml:space="preserve">wod.lb</t>
  </si>
  <si>
    <t xml:space="preserve">https://www.google.com/maps/search/?api=1&amp;query=wod.lb%2C+Amchit%2C+Lebanon</t>
  </si>
  <si>
    <t xml:space="preserve">Uncle Sam Burger Bar</t>
  </si>
  <si>
    <t xml:space="preserve">Cafe - burgers</t>
  </si>
  <si>
    <t xml:space="preserve">https://www.google.com/maps/search/?api=1&amp;query=Uncle+Sam+Burger+Bar%2C+Amchit%2C+Lebanon</t>
  </si>
  <si>
    <t xml:space="preserve">Ahwet Antoun</t>
  </si>
  <si>
    <t xml:space="preserve">https://www.google.com/maps/search/?api=1&amp;query=Ahwet+Antoun%2C+Amchit%2C+Lebanon</t>
  </si>
  <si>
    <t xml:space="preserve">Amchit seaside road</t>
  </si>
  <si>
    <t xml:space="preserve">Latte Art</t>
  </si>
  <si>
    <t xml:space="preserve">https://www.google.com/maps/search/?api=1&amp;query=Latte+Art%2C+Amchit+seaside+road%2C+Lebanon</t>
  </si>
  <si>
    <t xml:space="preserve">Furn El Sabaya</t>
  </si>
  <si>
    <t xml:space="preserve">https://www.google.com/maps/search/?api=1&amp;query=Furn+El+Sabaya%2C+Amchit%2C+Lebanon</t>
  </si>
  <si>
    <t xml:space="preserve">Cake Bake</t>
  </si>
  <si>
    <t xml:space="preserve">https://www.google.com/maps/search/?api=1&amp;query=Cake+Bake%2C+Amchit%2C+Lebanon</t>
  </si>
  <si>
    <t xml:space="preserve">Prunelle SAL</t>
  </si>
  <si>
    <t xml:space="preserve">https://www.google.com/maps/search/?api=1&amp;query=Prunelle+SAL%2C+Amchit%2C+Lebanon</t>
  </si>
  <si>
    <t xml:space="preserve">Bakery Firas</t>
  </si>
  <si>
    <t xml:space="preserve">https://www.google.com/maps/search/?api=1&amp;query=Bakery+Firas%2C+Amchit%2C+Lebanon</t>
  </si>
  <si>
    <t xml:space="preserve">McDonald's</t>
  </si>
  <si>
    <t xml:space="preserve">https://www.google.com/maps/search/?api=1&amp;query=McDonald%27s%2C+Amchit%2C+Lebanon</t>
  </si>
  <si>
    <t xml:space="preserve">Maameltein</t>
  </si>
  <si>
    <t xml:space="preserve">Al Sultan Brahim</t>
  </si>
  <si>
    <t xml:space="preserve">https://www.tripadvisor.com/Restaurants-g298267-Jounieh_Mount_Lebanon_Governorate.html</t>
  </si>
  <si>
    <t xml:space="preserve">https://www.google.com/maps/search/?api=1&amp;query=Al+Sultan+Brahim%2C+Maameltein%2C+Lebanon</t>
  </si>
  <si>
    <t xml:space="preserve">Long-standing seafood name on the bay; the benchmark fish table of Keserwan.</t>
  </si>
  <si>
    <t xml:space="preserve">Jounieh seafront</t>
  </si>
  <si>
    <t xml:space="preserve">Makhlouf Sur Mer</t>
  </si>
  <si>
    <t xml:space="preserve">https://www.google.com/maps/search/?api=1&amp;query=Makhlouf+Sur+Mer%2C+Jounieh+seafront%2C+Lebanon</t>
  </si>
  <si>
    <t xml:space="preserve">Sea-level terrace, mezze and grilled fish.</t>
  </si>
  <si>
    <t xml:space="preserve">Jounieh port</t>
  </si>
  <si>
    <t xml:space="preserve">L'ancre</t>
  </si>
  <si>
    <t xml:space="preserve">https://www.google.com/maps/search/?api=1&amp;query=L%27ancre%2C+Jounieh+port%2C+Lebanon</t>
  </si>
  <si>
    <t xml:space="preserve">Small harbour seafood room.</t>
  </si>
  <si>
    <t xml:space="preserve">Nippon Sushi and Grill</t>
  </si>
  <si>
    <t xml:space="preserve">Japanese - Bar</t>
  </si>
  <si>
    <t xml:space="preserve">https://www.google.com/maps/search/?api=1&amp;query=Nippon+Sushi+and+Grill%2C+Jounieh%2C+Lebanon</t>
  </si>
  <si>
    <t xml:space="preserve">Tartina Di Mare</t>
  </si>
  <si>
    <t xml:space="preserve">Italian - Pizza</t>
  </si>
  <si>
    <t xml:space="preserve">https://www.google.com/maps/search/?api=1&amp;query=Tartina+Di+Mare%2C+Jounieh%2C+Lebanon</t>
  </si>
  <si>
    <t xml:space="preserve">Highest-rated Jounieh entry on review data.</t>
  </si>
  <si>
    <t xml:space="preserve">Margherita Pizzeria Del Quartiere</t>
  </si>
  <si>
    <t xml:space="preserve">https://www.google.com/maps/search/?api=1&amp;query=Margherita+Pizzeria+Del+Quartiere%2C+Jounieh%2C+Lebanon</t>
  </si>
  <si>
    <t xml:space="preserve">Neapolitan-style pizzeria, large review base.</t>
  </si>
  <si>
    <t xml:space="preserve">Les Tziganes</t>
  </si>
  <si>
    <t xml:space="preserve">Bar - Lebanese</t>
  </si>
  <si>
    <t xml:space="preserve">https://www.google.com/maps/search/?api=1&amp;query=Les+Tziganes%2C+Jounieh%2C+Lebanon</t>
  </si>
  <si>
    <t xml:space="preserve">La Creperie</t>
  </si>
  <si>
    <t xml:space="preserve">French - Lebanese</t>
  </si>
  <si>
    <t xml:space="preserve">https://www.google.com/maps/search/?api=1&amp;query=La+Creperie%2C+Jounieh%2C+Lebanon</t>
  </si>
  <si>
    <t xml:space="preserve">Landmark cliff-side creperie; views outrank the kitchen in reviews.</t>
  </si>
  <si>
    <t xml:space="preserve">Murray Resto-Cafe Seaside</t>
  </si>
  <si>
    <t xml:space="preserve">https://www.google.com/maps/search/?api=1&amp;query=Murray+Resto-Cafe+Seaside%2C+Jounieh+seafront%2C+Lebanon</t>
  </si>
  <si>
    <t xml:space="preserve">Cafe Du Port</t>
  </si>
  <si>
    <t xml:space="preserve">https://wenrayhin.com/en/towns/jounieh/food_drink</t>
  </si>
  <si>
    <t xml:space="preserve">https://www.google.com/maps/search/?api=1&amp;query=Cafe+Du+Port%2C+Jounieh+port%2C+Lebanon</t>
  </si>
  <si>
    <t xml:space="preserve">Carneo</t>
  </si>
  <si>
    <t xml:space="preserve">Restaurant - grill</t>
  </si>
  <si>
    <t xml:space="preserve">https://www.google.com/maps/search/?api=1&amp;query=Carneo%2C+Jounieh%2C+Lebanon</t>
  </si>
  <si>
    <t xml:space="preserve">Casino du Liban</t>
  </si>
  <si>
    <t xml:space="preserve">Restaurant - entertainment</t>
  </si>
  <si>
    <t xml:space="preserve">https://www.google.com/maps/search/?api=1&amp;query=Casino+du+Liban%2C+Maameltein%2C+Lebanon</t>
  </si>
  <si>
    <t xml:space="preserve">Dining inside the casino complex; also a nightlife venue.</t>
  </si>
  <si>
    <t xml:space="preserve">Cezanne</t>
  </si>
  <si>
    <t xml:space="preserve">https://www.google.com/maps/search/?api=1&amp;query=Cezanne%2C+Jounieh%2C+Lebanon</t>
  </si>
  <si>
    <t xml:space="preserve">Crepaway</t>
  </si>
  <si>
    <t xml:space="preserve">Diner - chain</t>
  </si>
  <si>
    <t xml:space="preserve">https://www.google.com/maps/search/?api=1&amp;query=Crepaway%2C+Jounieh%2C+Lebanon</t>
  </si>
  <si>
    <t xml:space="preserve">Leqmet Samak</t>
  </si>
  <si>
    <t xml:space="preserve">https://www.google.com/maps/search/?api=1&amp;query=Leqmet+Samak%2C+Jounieh%2C+Lebanon</t>
  </si>
  <si>
    <t xml:space="preserve">Palms the Legend</t>
  </si>
  <si>
    <t xml:space="preserve">Restaurant - beach</t>
  </si>
  <si>
    <t xml:space="preserve">https://www.google.com/maps/search/?api=1&amp;query=Palms+the+Legend%2C+Jounieh%2C+Lebanon</t>
  </si>
  <si>
    <t xml:space="preserve">Seasonal beach venue.</t>
  </si>
  <si>
    <t xml:space="preserve">Manuela</t>
  </si>
  <si>
    <t xml:space="preserve">https://www.google.com/maps/search/?api=1&amp;query=Manuela%2C+Jounieh%2C+Lebanon</t>
  </si>
  <si>
    <t xml:space="preserve">Sandwich W Noss</t>
  </si>
  <si>
    <t xml:space="preserve">Traditional Lebanese - sandwiches</t>
  </si>
  <si>
    <t xml:space="preserve">https://www.google.com/maps/search/?api=1&amp;query=Sandwich+W+Noss%2C+Jounieh%2C+Lebanon</t>
  </si>
  <si>
    <t xml:space="preserve">https://www.google.com/maps/search/?api=1&amp;query=Malak+Al+Tawouk%2C+Jounieh%2C+Lebanon</t>
  </si>
  <si>
    <t xml:space="preserve">Skoon Jounieh</t>
  </si>
  <si>
    <t xml:space="preserve">https://www.google.com/maps/search/?api=1&amp;query=Skoon+Jounieh%2C+Jounieh%2C+Lebanon</t>
  </si>
  <si>
    <t xml:space="preserve">H Village</t>
  </si>
  <si>
    <t xml:space="preserve">https://www.google.com/maps/search/?api=1&amp;query=H+Village%2C+Jounieh%2C+Lebanon</t>
  </si>
  <si>
    <t xml:space="preserve">Bamboo Asian Cuisine</t>
  </si>
  <si>
    <t xml:space="preserve">Asian</t>
  </si>
  <si>
    <t xml:space="preserve">https://www.google.com/maps/search/?api=1&amp;query=Bamboo+Asian+Cuisine%2C+Jounieh%2C+Lebanon</t>
  </si>
  <si>
    <t xml:space="preserve">https://www.google.com/maps/search/?api=1&amp;query=Roadster+Diner%2C+Jounieh%2C+Lebanon</t>
  </si>
  <si>
    <t xml:space="preserve">Breakfast to Breakfast</t>
  </si>
  <si>
    <t xml:space="preserve">Breakfast</t>
  </si>
  <si>
    <t xml:space="preserve">https://www.google.com/maps/search/?api=1&amp;query=Breakfast+to+Breakfast%2C+Jounieh%2C+Lebanon</t>
  </si>
  <si>
    <t xml:space="preserve">Falafel Abou Andre</t>
  </si>
  <si>
    <t xml:space="preserve">Traditional Lebanese - falafel</t>
  </si>
  <si>
    <t xml:space="preserve">https://www.google.com/maps/search/?api=1&amp;query=Falafel+Abou+Andre%2C+Jounieh%2C+Lebanon</t>
  </si>
  <si>
    <t xml:space="preserve">Long-running falafel counter.</t>
  </si>
  <si>
    <t xml:space="preserve">Furn Jebne w Zaatar</t>
  </si>
  <si>
    <t xml:space="preserve">Bakery - manouche</t>
  </si>
  <si>
    <t xml:space="preserve">https://www.google.com/maps/search/?api=1&amp;query=Furn+Jebne+w+Zaatar%2C+Jounieh%2C+Lebanon</t>
  </si>
  <si>
    <t xml:space="preserve">Douaihy Sweets</t>
  </si>
  <si>
    <t xml:space="preserve">Bakery - sweets</t>
  </si>
  <si>
    <t xml:space="preserve">https://www.google.com/maps/search/?api=1&amp;query=Douaihy+Sweets%2C+Jounieh%2C+Lebanon</t>
  </si>
  <si>
    <t xml:space="preserve">Sarba</t>
  </si>
  <si>
    <t xml:space="preserve">https://www.google.com/maps/search/?api=1&amp;query=L%27abeille+D%27or%2C+Sarba%2C+Lebanon</t>
  </si>
  <si>
    <t xml:space="preserve">Haret Sakher</t>
  </si>
  <si>
    <t xml:space="preserve">https://www.google.com/maps/search/?api=1&amp;query=Moulin+d%27Or%2C+Haret+Sakher%2C+Lebanon</t>
  </si>
  <si>
    <t xml:space="preserve">Maison Sibon</t>
  </si>
  <si>
    <t xml:space="preserve">https://www.google.com/maps/search/?api=1&amp;query=Maison+Sibon%2C+Jounieh%2C+Lebanon</t>
  </si>
  <si>
    <t xml:space="preserve">Paul</t>
  </si>
  <si>
    <t xml:space="preserve">https://www.google.com/maps/search/?api=1&amp;query=Paul%2C+Jounieh%2C+Lebanon</t>
  </si>
  <si>
    <t xml:space="preserve">Gelato Show</t>
  </si>
  <si>
    <t xml:space="preserve">Dessert - gelato</t>
  </si>
  <si>
    <t xml:space="preserve">https://www.google.com/maps/search/?api=1&amp;query=Gelato+Show%2C+Jounieh%2C+Lebanon</t>
  </si>
  <si>
    <t xml:space="preserve">Latte Art Jounieh</t>
  </si>
  <si>
    <t xml:space="preserve">https://www.google.com/maps/search/?api=1&amp;query=Latte+Art+Jounieh%2C+Jounieh%2C+Lebanon</t>
  </si>
  <si>
    <t xml:space="preserve">Moodboard Coffeeshop</t>
  </si>
  <si>
    <t xml:space="preserve">Cafe - specialty</t>
  </si>
  <si>
    <t xml:space="preserve">https://www.google.com/maps/search/?api=1&amp;query=Moodboard+Coffeeshop%2C+Jounieh%2C+Lebanon</t>
  </si>
  <si>
    <t xml:space="preserve">Vee Coffee Shop</t>
  </si>
  <si>
    <t xml:space="preserve">https://www.google.com/maps/search/?api=1&amp;query=Vee+Coffee+Shop%2C+Jounieh%2C+Lebanon</t>
  </si>
  <si>
    <t xml:space="preserve">Coffee Trail</t>
  </si>
  <si>
    <t xml:space="preserve">https://www.google.com/maps/search/?api=1&amp;query=Coffee+Trail%2C+Jounieh%2C+Lebanon</t>
  </si>
  <si>
    <t xml:space="preserve">FEER'S</t>
  </si>
  <si>
    <t xml:space="preserve">https://www.google.com/maps/search/?api=1&amp;query=FEER%27S%2C+Jounieh%2C+Lebanon</t>
  </si>
  <si>
    <t xml:space="preserve">Nama Ahwe 3al Baher</t>
  </si>
  <si>
    <t xml:space="preserve">Cafe - seaside</t>
  </si>
  <si>
    <t xml:space="preserve">https://www.google.com/maps/search/?api=1&amp;query=Nama+Ahwe+3al+Baher%2C+Jounieh+seafront%2C+Lebanon</t>
  </si>
  <si>
    <t xml:space="preserve">Traditional seaside coffee and arguileh.</t>
  </si>
  <si>
    <t xml:space="preserve">Cafe Toni</t>
  </si>
  <si>
    <t xml:space="preserve">https://www.google.com/maps/search/?api=1&amp;query=Cafe+Toni%2C+Jounieh%2C+Lebanon</t>
  </si>
  <si>
    <t xml:space="preserve">Pilatte Wellness</t>
  </si>
  <si>
    <t xml:space="preserve">Cafe - health</t>
  </si>
  <si>
    <t xml:space="preserve">https://www.google.com/maps/search/?api=1&amp;query=Pilatte+Wellness%2C+Jounieh%2C+Lebanon</t>
  </si>
  <si>
    <t xml:space="preserve">https://www.google.com/maps/search/?api=1&amp;query=Starbucks%2C+Jounieh%2C+Lebanon</t>
  </si>
  <si>
    <t xml:space="preserve">Multiple branches on the Jounieh strip.</t>
  </si>
  <si>
    <t xml:space="preserve">Le View Rooftop Bar &amp; Pool</t>
  </si>
  <si>
    <t xml:space="preserve">Rooftop bar</t>
  </si>
  <si>
    <t xml:space="preserve">https://www.google.com/maps/search/?api=1&amp;query=Le+View+Rooftop+Bar+%26+Pool%2C+Jounieh%2C+Lebanon</t>
  </si>
  <si>
    <t xml:space="preserve">Seasonal rooftop and pool.</t>
  </si>
  <si>
    <t xml:space="preserve">Jounieh bay</t>
  </si>
  <si>
    <t xml:space="preserve">Gaia By The Sea</t>
  </si>
  <si>
    <t xml:space="preserve">Beach club</t>
  </si>
  <si>
    <t xml:space="preserve">https://www.google.com/maps/search/?api=1&amp;query=Gaia+By+The+Sea%2C+Jounieh+bay%2C+Lebanon</t>
  </si>
  <si>
    <t xml:space="preserve">Summer beach club.</t>
  </si>
  <si>
    <t xml:space="preserve">TAO Bar</t>
  </si>
  <si>
    <t xml:space="preserve">https://www.google.com/maps/search/?api=1&amp;query=TAO+Bar%2C+Jounieh%2C+Lebanon</t>
  </si>
  <si>
    <t xml:space="preserve">Tao Bar by the Sea</t>
  </si>
  <si>
    <t xml:space="preserve">Bar - seaside</t>
  </si>
  <si>
    <t xml:space="preserve">https://www.google.com/maps/search/?api=1&amp;query=Tao+Bar+by+the+Sea%2C+Jounieh+bay%2C+Lebanon</t>
  </si>
  <si>
    <t xml:space="preserve">Tiki Bar</t>
  </si>
  <si>
    <t xml:space="preserve">https://www.google.com/maps/search/?api=1&amp;query=Tiki+Bar%2C+Jounieh%2C+Lebanon</t>
  </si>
  <si>
    <t xml:space="preserve">ESCO-BAR Jounieh Indoor</t>
  </si>
  <si>
    <t xml:space="preserve">https://www.google.com/maps/search/?api=1&amp;query=ESCO-BAR+Jounieh+Indoor%2C+Jounieh%2C+Lebanon</t>
  </si>
  <si>
    <t xml:space="preserve">Pablo Escobar - Coctel Y Cocina</t>
  </si>
  <si>
    <t xml:space="preserve">Bar - restaurant</t>
  </si>
  <si>
    <t xml:space="preserve">https://www.google.com/maps/search/?api=1&amp;query=Pablo+Escobar+-+Coctel+Y+Cocina%2C+Jounieh%2C+Lebanon</t>
  </si>
  <si>
    <t xml:space="preserve">Bar National</t>
  </si>
  <si>
    <t xml:space="preserve">https://www.google.com/maps/search/?api=1&amp;query=Bar+National%2C+Jounieh%2C+Lebanon</t>
  </si>
  <si>
    <t xml:space="preserve">Le Peche</t>
  </si>
  <si>
    <t xml:space="preserve">https://www.google.com/maps/search/?api=1&amp;query=Le+Peche%2C+Jounieh%2C+Lebanon</t>
  </si>
  <si>
    <t xml:space="preserve">Boha</t>
  </si>
  <si>
    <t xml:space="preserve">https://www.google.com/maps/search/?api=1&amp;query=Boha%2C+Jounieh%2C+Lebanon</t>
  </si>
  <si>
    <t xml:space="preserve">Yardbird</t>
  </si>
  <si>
    <t xml:space="preserve">https://www.google.com/maps/search/?api=1&amp;query=Yardbird%2C+Jounieh%2C+Lebanon</t>
  </si>
  <si>
    <t xml:space="preserve">Tonic</t>
  </si>
  <si>
    <t xml:space="preserve">https://www.google.com/maps/search/?api=1&amp;query=Tonic%2C+Jounieh%2C+Lebanon</t>
  </si>
  <si>
    <t xml:space="preserve">Tint Lobby</t>
  </si>
  <si>
    <t xml:space="preserve">Bar - lounge</t>
  </si>
  <si>
    <t xml:space="preserve">https://www.google.com/maps/search/?api=1&amp;query=Tint+Lobby%2C+Jounieh%2C+Lebanon</t>
  </si>
  <si>
    <t xml:space="preserve">Hanet Shabaho</t>
  </si>
  <si>
    <t xml:space="preserve">Winery - tavern</t>
  </si>
  <si>
    <t xml:space="preserve">https://www.google.com/maps/search/?api=1&amp;query=Hanet+Shabaho%2C+Jounieh%2C+Lebanon</t>
  </si>
  <si>
    <t xml:space="preserve">Junya Cafe Bar</t>
  </si>
  <si>
    <t xml:space="preserve">https://www.google.com/maps/search/?api=1&amp;query=Junya+Cafe+Bar%2C+Jounieh%2C+Lebanon</t>
  </si>
  <si>
    <t xml:space="preserve">Zouk Mosbeh</t>
  </si>
  <si>
    <t xml:space="preserve">Le Canoe</t>
  </si>
  <si>
    <t xml:space="preserve">https://wenrayhin.com/en/towns/zouk-mosbeh/food_drink</t>
  </si>
  <si>
    <t xml:space="preserve">https://www.google.com/maps/search/?api=1&amp;query=Le+Canoe%2C+Zouk+Mosbeh%2C+Lebanon</t>
  </si>
  <si>
    <t xml:space="preserve">Gilgamesh Grill</t>
  </si>
  <si>
    <t xml:space="preserve">https://www.google.com/maps/search/?api=1&amp;query=Gilgamesh+Grill%2C+Zouk+Mosbeh%2C+Lebanon</t>
  </si>
  <si>
    <t xml:space="preserve">Italian Stories</t>
  </si>
  <si>
    <t xml:space="preserve">https://www.google.com/maps/search/?api=1&amp;query=Italian+Stories%2C+Zouk+Mosbeh%2C+Lebanon</t>
  </si>
  <si>
    <t xml:space="preserve">Sush'd</t>
  </si>
  <si>
    <t xml:space="preserve">Japanese - sushi</t>
  </si>
  <si>
    <t xml:space="preserve">https://www.google.com/maps/search/?api=1&amp;query=Sush%27d%2C+Zouk+Mosbeh%2C+Lebanon</t>
  </si>
  <si>
    <t xml:space="preserve">Sushi Star</t>
  </si>
  <si>
    <t xml:space="preserve">https://www.google.com/maps/search/?api=1&amp;query=Sushi+Star%2C+Zouk+Mosbeh%2C+Lebanon</t>
  </si>
  <si>
    <t xml:space="preserve">Mattarelli's Pizzeria</t>
  </si>
  <si>
    <t xml:space="preserve">Italian - pizza</t>
  </si>
  <si>
    <t xml:space="preserve">https://www.google.com/maps/search/?api=1&amp;query=Mattarelli%27s+Pizzeria%2C+Zouk+Mosbeh%2C+Lebanon</t>
  </si>
  <si>
    <t xml:space="preserve">Slicy Pizzeria</t>
  </si>
  <si>
    <t xml:space="preserve">https://www.google.com/maps/search/?api=1&amp;query=Slicy+Pizzeria%2C+Zouk+Mosbeh%2C+Lebanon</t>
  </si>
  <si>
    <t xml:space="preserve">La Stazione</t>
  </si>
  <si>
    <t xml:space="preserve">https://www.google.com/maps/search/?api=1&amp;query=La+Stazione%2C+Zouk+Mosbeh%2C+Lebanon</t>
  </si>
  <si>
    <t xml:space="preserve">Sea Crust Restobar</t>
  </si>
  <si>
    <t xml:space="preserve">https://www.google.com/maps/search/?api=1&amp;query=Sea+Crust+Restobar%2C+Zouk+Mosbeh%2C+Lebanon</t>
  </si>
  <si>
    <t xml:space="preserve">Machewe El Karam - King Fadi</t>
  </si>
  <si>
    <t xml:space="preserve">https://www.google.com/maps/search/?api=1&amp;query=Machewe+El+Karam+-+King+Fadi%2C+Zouk+Mosbeh%2C+Lebanon</t>
  </si>
  <si>
    <t xml:space="preserve">Hajj Nasr</t>
  </si>
  <si>
    <t xml:space="preserve">https://www.google.com/maps/search/?api=1&amp;query=Hajj+Nasr%2C+Zouk+Mosbeh%2C+Lebanon</t>
  </si>
  <si>
    <t xml:space="preserve">Mamina</t>
  </si>
  <si>
    <t xml:space="preserve">https://www.google.com/maps/search/?api=1&amp;query=Mamina%2C+Zouk+Mosbeh%2C+Lebanon</t>
  </si>
  <si>
    <t xml:space="preserve">https://www.google.com/maps/search/?api=1&amp;query=Falafel+Abou+Andre%2C+Zouk+Mosbeh%2C+Lebanon</t>
  </si>
  <si>
    <t xml:space="preserve">Farouj Al Abdalla</t>
  </si>
  <si>
    <t xml:space="preserve">Traditional Lebanese - chicken</t>
  </si>
  <si>
    <t xml:space="preserve">https://www.google.com/maps/search/?api=1&amp;query=Farouj+Al+Abdalla%2C+Zouk+Mosbeh%2C+Lebanon</t>
  </si>
  <si>
    <t xml:space="preserve">Hawa Chicken</t>
  </si>
  <si>
    <t xml:space="preserve">Chicken - chain</t>
  </si>
  <si>
    <t xml:space="preserve">https://www.google.com/maps/search/?api=1&amp;query=Hawa+Chicken%2C+Zouk+Mosbeh%2C+Lebanon</t>
  </si>
  <si>
    <t xml:space="preserve">Mr. Brown</t>
  </si>
  <si>
    <t xml:space="preserve">https://www.google.com/maps/search/?api=1&amp;query=Mr.+Brown%2C+Zouk+Mosbeh%2C+Lebanon</t>
  </si>
  <si>
    <t xml:space="preserve">Eddy's Street Food</t>
  </si>
  <si>
    <t xml:space="preserve">Street food</t>
  </si>
  <si>
    <t xml:space="preserve">https://www.google.com/maps/search/?api=1&amp;query=Eddy%27s+Street+Food%2C+Zouk+Mosbeh%2C+Lebanon</t>
  </si>
  <si>
    <t xml:space="preserve">Lava Lounge</t>
  </si>
  <si>
    <t xml:space="preserve">Restaurant - lounge</t>
  </si>
  <si>
    <t xml:space="preserve">https://www.google.com/maps/search/?api=1&amp;query=Lava+Lounge%2C+Zouk+Mosbeh%2C+Lebanon</t>
  </si>
  <si>
    <t xml:space="preserve">Beanloft</t>
  </si>
  <si>
    <t xml:space="preserve">https://www.google.com/maps/search/?api=1&amp;query=Beanloft%2C+Zouk+Mosbeh%2C+Lebanon</t>
  </si>
  <si>
    <t xml:space="preserve">Senso &amp; Beryte Coffee Roasters</t>
  </si>
  <si>
    <t xml:space="preserve">Cafe - roastery</t>
  </si>
  <si>
    <t xml:space="preserve">https://www.google.com/maps/search/?api=1&amp;query=Senso+%26+Beryte+Coffee+Roasters%2C+Zouk+Mosbeh%2C+Lebanon</t>
  </si>
  <si>
    <t xml:space="preserve">Qahwa BLK</t>
  </si>
  <si>
    <t xml:space="preserve">https://www.google.com/maps/search/?api=1&amp;query=Qahwa+BLK%2C+Zouk+Mosbeh%2C+Lebanon</t>
  </si>
  <si>
    <t xml:space="preserve">Eleve Wellness Cafe</t>
  </si>
  <si>
    <t xml:space="preserve">https://www.google.com/maps/search/?api=1&amp;query=Eleve+Wellness+Cafe%2C+Zouk+Mosbeh%2C+Lebanon</t>
  </si>
  <si>
    <t xml:space="preserve">Bussin</t>
  </si>
  <si>
    <t xml:space="preserve">https://www.google.com/maps/search/?api=1&amp;query=Bussin%2C+Zouk+Mosbeh%2C+Lebanon</t>
  </si>
  <si>
    <t xml:space="preserve">Lupa</t>
  </si>
  <si>
    <t xml:space="preserve">https://www.google.com/maps/search/?api=1&amp;query=Lupa%2C+Zouk+Mosbeh%2C+Lebanon</t>
  </si>
  <si>
    <t xml:space="preserve">Croissant de Paris</t>
  </si>
  <si>
    <t xml:space="preserve">https://www.google.com/maps/search/?api=1&amp;query=Croissant+de+Paris%2C+Zouk+Mosbeh%2C+Lebanon</t>
  </si>
  <si>
    <t xml:space="preserve">Sea Sweet</t>
  </si>
  <si>
    <t xml:space="preserve">https://www.google.com/maps/search/?api=1&amp;query=Sea+Sweet%2C+Zouk+Mosbeh%2C+Lebanon</t>
  </si>
  <si>
    <t xml:space="preserve">Emeraude Chocolatier</t>
  </si>
  <si>
    <t xml:space="preserve">Dessert - chocolate</t>
  </si>
  <si>
    <t xml:space="preserve">https://www.google.com/maps/search/?api=1&amp;query=Emeraude+Chocolatier%2C+Zouk+Mosbeh%2C+Lebanon</t>
  </si>
  <si>
    <t xml:space="preserve">Cocktail Lahoud</t>
  </si>
  <si>
    <t xml:space="preserve">Bar - juice</t>
  </si>
  <si>
    <t xml:space="preserve">https://www.google.com/maps/search/?api=1&amp;query=Cocktail+Lahoud%2C+Zouk+Mosbeh%2C+Lebanon</t>
  </si>
  <si>
    <t xml:space="preserve">Daraj El Zouk Food Court</t>
  </si>
  <si>
    <t xml:space="preserve">Street food - food court</t>
  </si>
  <si>
    <t xml:space="preserve">https://www.google.com/maps/search/?api=1&amp;query=Daraj+El+Zouk+Food+Court%2C+Zouk+Mosbeh%2C+Lebanon</t>
  </si>
  <si>
    <t xml:space="preserve">Ghazir</t>
  </si>
  <si>
    <t xml:space="preserve">Malak Al Baher Ghazir</t>
  </si>
  <si>
    <t xml:space="preserve">https://wenrayhin.com/en/towns/ghazir/food_drink</t>
  </si>
  <si>
    <t xml:space="preserve">https://www.google.com/maps/search/?api=1&amp;query=Malak+Al+Baher+Ghazir%2C+Ghazir%2C+Lebanon</t>
  </si>
  <si>
    <t xml:space="preserve">Lancelot Piano Bar and Restaurant</t>
  </si>
  <si>
    <t xml:space="preserve">Restaurant - piano bar</t>
  </si>
  <si>
    <t xml:space="preserve">https://www.google.com/maps/search/?api=1&amp;query=Lancelot+Piano+Bar+and+Restaurant%2C+Ghazir%2C+Lebanon</t>
  </si>
  <si>
    <t xml:space="preserve">Circo Resto Bar</t>
  </si>
  <si>
    <t xml:space="preserve">https://www.google.com/maps/search/?api=1&amp;query=Circo+Resto+Bar%2C+Ghazir%2C+Lebanon</t>
  </si>
  <si>
    <t xml:space="preserve">Omarin Restaurant</t>
  </si>
  <si>
    <t xml:space="preserve">https://www.google.com/maps/search/?api=1&amp;query=Omarin+Restaurant%2C+Ghazir%2C+Lebanon</t>
  </si>
  <si>
    <t xml:space="preserve">Palloni by La Funivia</t>
  </si>
  <si>
    <t xml:space="preserve">https://www.google.com/maps/search/?api=1&amp;query=Palloni+by+La+Funivia%2C+Ghazir%2C+Lebanon</t>
  </si>
  <si>
    <t xml:space="preserve">Atlal Plaza</t>
  </si>
  <si>
    <t xml:space="preserve">https://www.google.com/maps/search/?api=1&amp;query=Atlal+Plaza%2C+Ghazir%2C+Lebanon</t>
  </si>
  <si>
    <t xml:space="preserve">Villa Gabriel</t>
  </si>
  <si>
    <t xml:space="preserve">Restaurant - events</t>
  </si>
  <si>
    <t xml:space="preserve">https://www.google.com/maps/search/?api=1&amp;query=Villa+Gabriel%2C+Ghazir%2C+Lebanon</t>
  </si>
  <si>
    <t xml:space="preserve">Chez Tony</t>
  </si>
  <si>
    <t xml:space="preserve">https://www.google.com/maps/search/?api=1&amp;query=Chez+Tony%2C+Ghazir%2C+Lebanon</t>
  </si>
  <si>
    <t xml:space="preserve">Mashawi Dani Wardini</t>
  </si>
  <si>
    <t xml:space="preserve">https://www.google.com/maps/search/?api=1&amp;query=Mashawi+Dani+Wardini%2C+Ghazir%2C+Lebanon</t>
  </si>
  <si>
    <t xml:space="preserve">Tabliyit Massaad</t>
  </si>
  <si>
    <t xml:space="preserve">Street food - grill</t>
  </si>
  <si>
    <t xml:space="preserve">https://www.google.com/maps/search/?api=1&amp;query=Tabliyit+Massaad%2C+Ghazir%2C+Lebanon</t>
  </si>
  <si>
    <t xml:space="preserve">Sunset by Oasis</t>
  </si>
  <si>
    <t xml:space="preserve">Street food - viewpoint</t>
  </si>
  <si>
    <t xml:space="preserve">https://www.google.com/maps/search/?api=1&amp;query=Sunset+by+Oasis%2C+Ghazir%2C+Lebanon</t>
  </si>
  <si>
    <t xml:space="preserve">Sopra Maestri Gelato</t>
  </si>
  <si>
    <t xml:space="preserve">https://www.google.com/maps/search/?api=1&amp;query=Sopra+Maestri+Gelato%2C+Ghazir%2C+Lebanon</t>
  </si>
  <si>
    <t xml:space="preserve">Three Elephants</t>
  </si>
  <si>
    <t xml:space="preserve">https://www.google.com/maps/search/?api=1&amp;query=Three+Elephants%2C+Ghazir%2C+Lebanon</t>
  </si>
  <si>
    <t xml:space="preserve">Hotspot Cafe</t>
  </si>
  <si>
    <t xml:space="preserve">https://www.google.com/maps/search/?api=1&amp;query=Hotspot+Cafe%2C+Ghazir%2C+Lebanon</t>
  </si>
  <si>
    <t xml:space="preserve">The Cakery</t>
  </si>
  <si>
    <t xml:space="preserve">https://www.google.com/maps/search/?api=1&amp;query=The+Cakery%2C+Ghazir%2C+Lebanon</t>
  </si>
  <si>
    <t xml:space="preserve">Kfarhbab</t>
  </si>
  <si>
    <t xml:space="preserve">Sushi Star Kfarhbab</t>
  </si>
  <si>
    <t xml:space="preserve">https://www.google.com/maps/search/?api=1&amp;query=Sushi+Star+Kfarhbab%2C+Kfarhbab%2C+Lebanon</t>
  </si>
  <si>
    <t xml:space="preserve">Chateau Muzar (Ghazir outlet)</t>
  </si>
  <si>
    <t xml:space="preserve">Winery outlet</t>
  </si>
  <si>
    <t xml:space="preserve">https://www.google.com/maps/search/?api=1&amp;query=Chateau+Muzar+%28Ghazir+outlet%29%2C+Ghazir%2C+Lebanon</t>
  </si>
  <si>
    <t xml:space="preserve">Directory lists a winery outlet - confirm before visiting.</t>
  </si>
  <si>
    <t xml:space="preserve">Amar Harissa</t>
  </si>
  <si>
    <t xml:space="preserve">https://www.google.com/maps/search/?api=1&amp;query=Amar+Harissa%2C+Harissa%2C+Lebanon</t>
  </si>
  <si>
    <t xml:space="preserve">The best-reviewed table on the plateau; terrace over Jounieh bay.</t>
  </si>
  <si>
    <t xml:space="preserve">Teleferique Cafe Resto</t>
  </si>
  <si>
    <t xml:space="preserve">Restaurant - cafe</t>
  </si>
  <si>
    <t xml:space="preserve">https://wenrayhin.com/en/towns/harissa/food_drink</t>
  </si>
  <si>
    <t xml:space="preserve">https://www.google.com/maps/search/?api=1&amp;query=Teleferique+Cafe+Resto%2C+Harissa%2C+Lebanon</t>
  </si>
  <si>
    <t xml:space="preserve">At the upper cable-car station.</t>
  </si>
  <si>
    <t xml:space="preserve">Restaurant Laura at Teleferique Food Court</t>
  </si>
  <si>
    <t xml:space="preserve">https://www.google.com/maps/search/?api=1&amp;query=Restaurant+Laura+at+Teleferique+Food+Court%2C+Harissa%2C+Lebanon</t>
  </si>
  <si>
    <t xml:space="preserve">Cafeteria Our Lady of Lebanon</t>
  </si>
  <si>
    <t xml:space="preserve">Cafeteria</t>
  </si>
  <si>
    <t xml:space="preserve">https://www.google.com/maps/search/?api=1&amp;query=Cafeteria+Our+Lady+of+Lebanon%2C+Harissa%2C+Lebanon</t>
  </si>
  <si>
    <t xml:space="preserve">Inside the shrine complex.</t>
  </si>
  <si>
    <t xml:space="preserve">Mataam Beit El Count</t>
  </si>
  <si>
    <t xml:space="preserve">https://www.google.com/maps/search/?api=1&amp;query=Mataam+Beit+El+Count%2C+Harissa%2C+Lebanon</t>
  </si>
  <si>
    <t xml:space="preserve">Baher L Hawa</t>
  </si>
  <si>
    <t xml:space="preserve">Restaurant - viewpoint</t>
  </si>
  <si>
    <t xml:space="preserve">https://www.google.com/maps/search/?api=1&amp;query=Baher+L+Hawa%2C+Harissa%2C+Lebanon</t>
  </si>
  <si>
    <t xml:space="preserve">Ridge-edge terrace.</t>
  </si>
  <si>
    <t xml:space="preserve">Sama Judy</t>
  </si>
  <si>
    <t xml:space="preserve">https://www.google.com/maps/search/?api=1&amp;query=Sama+Judy%2C+Harissa%2C+Lebanon</t>
  </si>
  <si>
    <t xml:space="preserve">3ind Judy</t>
  </si>
  <si>
    <t xml:space="preserve">https://www.google.com/maps/search/?api=1&amp;query=3ind+Judy%2C+Harissa%2C+Lebanon</t>
  </si>
  <si>
    <t xml:space="preserve">Sienna by Savory</t>
  </si>
  <si>
    <t xml:space="preserve">https://www.google.com/maps/search/?api=1&amp;query=Sienna+by+Savory%2C+Harissa%2C+Lebanon</t>
  </si>
  <si>
    <t xml:space="preserve">Kingo's</t>
  </si>
  <si>
    <t xml:space="preserve">https://www.google.com/maps/search/?api=1&amp;query=Kingo%27s%2C+Harissa%2C+Lebanon</t>
  </si>
  <si>
    <t xml:space="preserve">Restaurant Fouad Khalil</t>
  </si>
  <si>
    <t xml:space="preserve">https://www.google.com/maps/search/?api=1&amp;query=Restaurant+Fouad+Khalil%2C+Harissa%2C+Lebanon</t>
  </si>
  <si>
    <t xml:space="preserve">Beit Youssef</t>
  </si>
  <si>
    <t xml:space="preserve">https://www.google.com/maps/search/?api=1&amp;query=Beit+Youssef%2C+Harissa%2C+Lebanon</t>
  </si>
  <si>
    <t xml:space="preserve">Maria's Restaurant</t>
  </si>
  <si>
    <t xml:space="preserve">https://www.google.com/maps/search/?api=1&amp;query=Maria%27s+Restaurant%2C+Harissa%2C+Lebanon</t>
  </si>
  <si>
    <t xml:space="preserve">Khaymet El Morjan</t>
  </si>
  <si>
    <t xml:space="preserve">https://www.google.com/maps/search/?api=1&amp;query=Khaymet+El+Morjan%2C+Harissa%2C+Lebanon</t>
  </si>
  <si>
    <t xml:space="preserve">Istirahat Al Ashab</t>
  </si>
  <si>
    <t xml:space="preserve">Restaurant - rest stop</t>
  </si>
  <si>
    <t xml:space="preserve">https://www.google.com/maps/search/?api=1&amp;query=Istirahat+Al+Ashab%2C+Harissa%2C+Lebanon</t>
  </si>
  <si>
    <t xml:space="preserve">Atyab Chi</t>
  </si>
  <si>
    <t xml:space="preserve">https://www.google.com/maps/search/?api=1&amp;query=Atyab+Chi%2C+Harissa%2C+Lebanon</t>
  </si>
  <si>
    <t xml:space="preserve">Pinky 1</t>
  </si>
  <si>
    <t xml:space="preserve">https://www.google.com/maps/search/?api=1&amp;query=Pinky+1%2C+Harissa%2C+Lebanon</t>
  </si>
  <si>
    <t xml:space="preserve">Twinzy Cafe</t>
  </si>
  <si>
    <t xml:space="preserve">https://www.google.com/maps/search/?api=1&amp;query=Twinzy+Cafe%2C+Harissa%2C+Lebanon</t>
  </si>
  <si>
    <t xml:space="preserve">Cafe Lambada</t>
  </si>
  <si>
    <t xml:space="preserve">https://www.google.com/maps/search/?api=1&amp;query=Cafe+Lambada%2C+Harissa%2C+Lebanon</t>
  </si>
  <si>
    <t xml:space="preserve">Between Cafe</t>
  </si>
  <si>
    <t xml:space="preserve">https://www.google.com/maps/search/?api=1&amp;query=Between+Cafe%2C+Harissa%2C+Lebanon</t>
  </si>
  <si>
    <t xml:space="preserve">Chidiac Cafe</t>
  </si>
  <si>
    <t xml:space="preserve">https://www.google.com/maps/search/?api=1&amp;query=Chidiac+Cafe%2C+Harissa%2C+Lebanon</t>
  </si>
  <si>
    <t xml:space="preserve">Latterace</t>
  </si>
  <si>
    <t xml:space="preserve">https://www.google.com/maps/search/?api=1&amp;query=Latterace%2C+Harissa%2C+Lebanon</t>
  </si>
  <si>
    <t xml:space="preserve">Sweet Corner</t>
  </si>
  <si>
    <t xml:space="preserve">Cafe - sweets</t>
  </si>
  <si>
    <t xml:space="preserve">https://www.google.com/maps/search/?api=1&amp;query=Sweet+Corner%2C+Harissa%2C+Lebanon</t>
  </si>
  <si>
    <t xml:space="preserve">Baylodge Harissa</t>
  </si>
  <si>
    <t xml:space="preserve">Bar - lodge</t>
  </si>
  <si>
    <t xml:space="preserve">https://www.google.com/maps/search/?api=1&amp;query=Baylodge+Harissa%2C+Harissa%2C+Lebanon</t>
  </si>
  <si>
    <t xml:space="preserve">Chapo Ba</t>
  </si>
  <si>
    <t xml:space="preserve">https://www.google.com/maps/search/?api=1&amp;query=Chapo+Ba%2C+Harissa%2C+Lebanon</t>
  </si>
  <si>
    <t xml:space="preserve">Terrai</t>
  </si>
  <si>
    <t xml:space="preserve">https://www.google.com/maps/search/?api=1&amp;query=Terrai%2C+Harissa%2C+Lebanon</t>
  </si>
  <si>
    <t xml:space="preserve">Toekan Bar</t>
  </si>
  <si>
    <t xml:space="preserve">https://www.google.com/maps/search/?api=1&amp;query=Toekan+Bar%2C+Harissa%2C+Lebanon</t>
  </si>
  <si>
    <t xml:space="preserve">Mzaar</t>
  </si>
  <si>
    <t xml:space="preserve">Le Montagnou</t>
  </si>
  <si>
    <t xml:space="preserve">French - Bar</t>
  </si>
  <si>
    <t xml:space="preserve">https://www.tripadvisor.com/Restaurants-g298268-Kfardebian_Mount_Lebanon_Governorate.html</t>
  </si>
  <si>
    <t xml:space="preserve">https://www.google.com/maps/search/?api=1&amp;query=Le+Montagnou%2C+Mzaar%2C+Lebanon</t>
  </si>
  <si>
    <t xml:space="preserve">Alpine-style chalet restaurant; the best-known apres-ski room in Lebanon.</t>
  </si>
  <si>
    <t xml:space="preserve">Faqra</t>
  </si>
  <si>
    <t xml:space="preserve">Massaya Winery Faqra</t>
  </si>
  <si>
    <t xml:space="preserve">Steakhouse - wine bar</t>
  </si>
  <si>
    <t xml:space="preserve">https://www.google.com/maps/search/?api=1&amp;query=Massaya+Winery+Faqra%2C+Faqra%2C+Lebanon</t>
  </si>
  <si>
    <t xml:space="preserve">Winery table at altitude; steaks and Massaya labels.</t>
  </si>
  <si>
    <t xml:space="preserve">ODIN Mzaar</t>
  </si>
  <si>
    <t xml:space="preserve">https://www.google.com/maps/search/?api=1&amp;query=ODIN+Mzaar%2C+Mzaar%2C+Lebanon</t>
  </si>
  <si>
    <t xml:space="preserve">Kfardebian</t>
  </si>
  <si>
    <t xml:space="preserve">Friends' In Chalet &amp; Restaurant</t>
  </si>
  <si>
    <t xml:space="preserve">International - Barbecue</t>
  </si>
  <si>
    <t xml:space="preserve">https://www.google.com/maps/search/?api=1&amp;query=Friends%27+In+Chalet+%26+Restaurant%2C+Kfardebian%2C+Lebanon</t>
  </si>
  <si>
    <t xml:space="preserve">Highest-rated Kfardebian entry on review data.</t>
  </si>
  <si>
    <t xml:space="preserve">Al Kanater Restaurant</t>
  </si>
  <si>
    <t xml:space="preserve">https://www.google.com/maps/search/?api=1&amp;query=Al+Kanater+Restaurant%2C+Faqra%2C+Lebanon</t>
  </si>
  <si>
    <t xml:space="preserve">Traditional Lebanese near the Faqra ruins.</t>
  </si>
  <si>
    <t xml:space="preserve">Khaymet el Hor</t>
  </si>
  <si>
    <t xml:space="preserve">https://www.google.com/maps/search/?api=1&amp;query=Khaymet+el+Hor%2C+Kfardebian%2C+Lebanon</t>
  </si>
  <si>
    <t xml:space="preserve">Chez Michel</t>
  </si>
  <si>
    <t xml:space="preserve">https://www.google.com/maps/search/?api=1&amp;query=Chez+Michel%2C+Kfardebian%2C+Lebanon</t>
  </si>
  <si>
    <t xml:space="preserve">Village mainstay; two listings appear under this name.</t>
  </si>
  <si>
    <t xml:space="preserve">Chez Philippe Faqra</t>
  </si>
  <si>
    <t xml:space="preserve">International</t>
  </si>
  <si>
    <t xml:space="preserve">https://www.google.com/maps/search/?api=1&amp;query=Chez+Philippe+Faqra%2C+Faqra%2C+Lebanon</t>
  </si>
  <si>
    <t xml:space="preserve">Grizzly Restaurant</t>
  </si>
  <si>
    <t xml:space="preserve">Swiss - European</t>
  </si>
  <si>
    <t xml:space="preserve">https://www.google.com/maps/search/?api=1&amp;query=Grizzly+Restaurant%2C+Mzaar%2C+Lebanon</t>
  </si>
  <si>
    <t xml:space="preserve">Aand Shaker</t>
  </si>
  <si>
    <t xml:space="preserve">https://www.google.com/maps/search/?api=1&amp;query=Aand+Shaker%2C+Kfardebian%2C+Lebanon</t>
  </si>
  <si>
    <t xml:space="preserve">The Burgerie</t>
  </si>
  <si>
    <t xml:space="preserve">Burgers</t>
  </si>
  <si>
    <t xml:space="preserve">https://www.google.com/maps/search/?api=1&amp;query=The+Burgerie%2C+Kfardebian%2C+Lebanon</t>
  </si>
  <si>
    <t xml:space="preserve">Listed without reviews - verify it is trading.</t>
  </si>
  <si>
    <t xml:space="preserve">Le Refuge</t>
  </si>
  <si>
    <t xml:space="preserve">https://www.google.com/maps/search/?api=1&amp;query=Le+Refuge%2C+Mzaar%2C+Lebanon</t>
  </si>
  <si>
    <t xml:space="preserve">Astro Faqra</t>
  </si>
  <si>
    <t xml:space="preserve">https://wenrayhin.com/en/towns/kfardebian/food_drink</t>
  </si>
  <si>
    <t xml:space="preserve">https://www.google.com/maps/search/?api=1&amp;query=Astro+Faqra%2C+Faqra%2C+Lebanon</t>
  </si>
  <si>
    <t xml:space="preserve">Chef Philippe Faqra</t>
  </si>
  <si>
    <t xml:space="preserve">https://www.google.com/maps/search/?api=1&amp;query=Chef+Philippe+Faqra%2C+Faqra%2C+Lebanon</t>
  </si>
  <si>
    <t xml:space="preserve">Fertil Gardens Faqra</t>
  </si>
  <si>
    <t xml:space="preserve">https://www.google.com/maps/search/?api=1&amp;query=Fertil+Gardens+Faqra%2C+Faqra%2C+Lebanon</t>
  </si>
  <si>
    <t xml:space="preserve">Summer garden venue.</t>
  </si>
  <si>
    <t xml:space="preserve">Jnaynit Al Khawaja</t>
  </si>
  <si>
    <t xml:space="preserve">Restaurant - garden</t>
  </si>
  <si>
    <t xml:space="preserve">https://www.google.com/maps/search/?api=1&amp;query=Jnaynit+Al+Khawaja%2C+Kfardebian%2C+Lebanon</t>
  </si>
  <si>
    <t xml:space="preserve">Restaurant Fawzi</t>
  </si>
  <si>
    <t xml:space="preserve">https://www.google.com/maps/search/?api=1&amp;query=Restaurant+Fawzi%2C+Kfardebian%2C+Lebanon</t>
  </si>
  <si>
    <t xml:space="preserve">Restaurant Al Hara</t>
  </si>
  <si>
    <t xml:space="preserve">https://www.google.com/maps/search/?api=1&amp;query=Restaurant+Al+Hara%2C+Kfardebian%2C+Lebanon</t>
  </si>
  <si>
    <t xml:space="preserve">Jroudna</t>
  </si>
  <si>
    <t xml:space="preserve">https://www.google.com/maps/search/?api=1&amp;query=Jroudna%2C+Kfardebian%2C+Lebanon</t>
  </si>
  <si>
    <t xml:space="preserve">HUSK Kfardebian</t>
  </si>
  <si>
    <t xml:space="preserve">https://www.google.com/maps/search/?api=1&amp;query=HUSK+Kfardebian%2C+Kfardebian%2C+Lebanon</t>
  </si>
  <si>
    <t xml:space="preserve">Casa Di Pizza</t>
  </si>
  <si>
    <t xml:space="preserve">https://www.google.com/maps/search/?api=1&amp;query=Casa+Di+Pizza%2C+Kfardebian%2C+Lebanon</t>
  </si>
  <si>
    <t xml:space="preserve">Panuozzo House</t>
  </si>
  <si>
    <t xml:space="preserve">Italian - sandwiches</t>
  </si>
  <si>
    <t xml:space="preserve">https://www.google.com/maps/search/?api=1&amp;query=Panuozzo+House%2C+Kfardebian%2C+Lebanon</t>
  </si>
  <si>
    <t xml:space="preserve">Bun Bash</t>
  </si>
  <si>
    <t xml:space="preserve">https://www.google.com/maps/search/?api=1&amp;query=Bun+Bash%2C+Kfardebian%2C+Lebanon</t>
  </si>
  <si>
    <t xml:space="preserve">Crust Bites</t>
  </si>
  <si>
    <t xml:space="preserve">https://www.google.com/maps/search/?api=1&amp;query=Crust+Bites%2C+Kfardebian%2C+Lebanon</t>
  </si>
  <si>
    <t xml:space="preserve">Classic Burger</t>
  </si>
  <si>
    <t xml:space="preserve">https://www.google.com/maps/search/?api=1&amp;query=Classic+Burger%2C+Kfardebian%2C+Lebanon</t>
  </si>
  <si>
    <t xml:space="preserve">Faraya village</t>
  </si>
  <si>
    <t xml:space="preserve">Malak Al Tawouk Faraya</t>
  </si>
  <si>
    <t xml:space="preserve">https://www.google.com/maps/search/?api=1&amp;query=Malak+Al+Tawouk+Faraya%2C+Faraya+village%2C+Lebanon</t>
  </si>
  <si>
    <t xml:space="preserve">The Cask &amp; Barrel Mzaar</t>
  </si>
  <si>
    <t xml:space="preserve">https://www.google.com/maps/search/?api=1&amp;query=The+Cask+%26+Barrel+Mzaar%2C+Mzaar%2C+Lebanon</t>
  </si>
  <si>
    <t xml:space="preserve">MOGEN BAR</t>
  </si>
  <si>
    <t xml:space="preserve">https://www.google.com/maps/search/?api=1&amp;query=MOGEN+BAR%2C+Kfardebian%2C+Lebanon</t>
  </si>
  <si>
    <t xml:space="preserve">Mogen 'Like It' Creperie</t>
  </si>
  <si>
    <t xml:space="preserve">Dessert - crepes</t>
  </si>
  <si>
    <t xml:space="preserve">https://www.google.com/maps/search/?api=1&amp;query=Mogen+%27Like+It%27+Creperie%2C+Kfardebian%2C+Lebanon</t>
  </si>
  <si>
    <t xml:space="preserve">Tonino Crepes &amp; Waffles</t>
  </si>
  <si>
    <t xml:space="preserve">https://www.google.com/maps/search/?api=1&amp;query=Tonino+Crepes+%26+Waffles%2C+Kfardebian%2C+Lebanon</t>
  </si>
  <si>
    <t xml:space="preserve">Coldstone Creamery Mzaar</t>
  </si>
  <si>
    <t xml:space="preserve">Dessert - ice cream</t>
  </si>
  <si>
    <t xml:space="preserve">https://www.google.com/maps/search/?api=1&amp;query=Coldstone+Creamery+Mzaar%2C+Mzaar%2C+Lebanon</t>
  </si>
  <si>
    <t xml:space="preserve">Doughnut Bar Mzaar</t>
  </si>
  <si>
    <t xml:space="preserve">Cafe - dessert</t>
  </si>
  <si>
    <t xml:space="preserve">https://www.google.com/maps/search/?api=1&amp;query=Doughnut+Bar+Mzaar%2C+Mzaar%2C+Lebanon</t>
  </si>
  <si>
    <t xml:space="preserve">Yasmina's Saj &amp; Arguile</t>
  </si>
  <si>
    <t xml:space="preserve">Cafe - saj</t>
  </si>
  <si>
    <t xml:space="preserve">https://www.google.com/maps/search/?api=1&amp;query=Yasmina%27s+Saj+%26+Arguile%2C+Kfardebian%2C+Lebanon</t>
  </si>
  <si>
    <t xml:space="preserve">Yasmina's Cafe</t>
  </si>
  <si>
    <t xml:space="preserve">Bakery - cafe</t>
  </si>
  <si>
    <t xml:space="preserve">https://www.google.com/maps/search/?api=1&amp;query=Yasmina%27s+Cafe%2C+Kfardebian%2C+Lebanon</t>
  </si>
  <si>
    <t xml:space="preserve">Coffee Shot</t>
  </si>
  <si>
    <t xml:space="preserve">https://www.google.com/maps/search/?api=1&amp;query=Coffee+Shot%2C+Kfardebian%2C+Lebanon</t>
  </si>
  <si>
    <t xml:space="preserve">Delice Duo</t>
  </si>
  <si>
    <t xml:space="preserve">https://www.google.com/maps/search/?api=1&amp;query=Delice+Duo%2C+Kfardebian%2C+Lebanon</t>
  </si>
  <si>
    <t xml:space="preserve">The Baguett Club</t>
  </si>
  <si>
    <t xml:space="preserve">Cafe - bakery</t>
  </si>
  <si>
    <t xml:space="preserve">https://www.google.com/maps/search/?api=1&amp;query=The+Baguett+Club%2C+Kfardebian%2C+Lebanon</t>
  </si>
  <si>
    <t xml:space="preserve">Cannelle Kfardebian</t>
  </si>
  <si>
    <t xml:space="preserve">https://www.google.com/maps/search/?api=1&amp;query=Cannelle+Kfardebian%2C+Kfardebian%2C+Lebanon</t>
  </si>
  <si>
    <t xml:space="preserve">Galette du Pont</t>
  </si>
  <si>
    <t xml:space="preserve">https://www.google.com/maps/search/?api=1&amp;query=Galette+du+Pont%2C+Kfardebian%2C+Lebanon</t>
  </si>
  <si>
    <t xml:space="preserve">Named for the nearby natural bridge.</t>
  </si>
  <si>
    <t xml:space="preserve">Des Choux et des Idees</t>
  </si>
  <si>
    <t xml:space="preserve">Bakery - patisserie</t>
  </si>
  <si>
    <t xml:space="preserve">https://www.google.com/maps/search/?api=1&amp;query=Des+Choux+et+des+Idees%2C+Kfardebian%2C+Lebanon</t>
  </si>
  <si>
    <t xml:space="preserve">BG Bike Generation</t>
  </si>
  <si>
    <t xml:space="preserve">Cafe - bike rental</t>
  </si>
  <si>
    <t xml:space="preserve">https://www.google.com/maps/search/?api=1&amp;query=BG+Bike+Generation%2C+Kfardebian%2C+Lebanon</t>
  </si>
  <si>
    <t xml:space="preserve">Cafe doubling as a bike-rental base.</t>
  </si>
  <si>
    <t xml:space="preserve">Aaqoura village</t>
  </si>
  <si>
    <t xml:space="preserve">Le P'tit Chef</t>
  </si>
  <si>
    <t xml:space="preserve">https://wenrayhin.com/en/towns/aaqoura/food_drink</t>
  </si>
  <si>
    <t xml:space="preserve">https://www.google.com/maps/search/?api=1&amp;query=Le+P%27tit+Chef%2C+Aaqoura+village%2C+Lebanon</t>
  </si>
  <si>
    <t xml:space="preserve">One of only a handful of sit-down kitchens in the village.</t>
  </si>
  <si>
    <t xml:space="preserve">Rabaet Carlos</t>
  </si>
  <si>
    <t xml:space="preserve">https://www.google.com/maps/search/?api=1&amp;query=Rabaet+Carlos%2C+Aaqoura+village%2C+Lebanon</t>
  </si>
  <si>
    <t xml:space="preserve">Restaurant and Motel Al Rabih</t>
  </si>
  <si>
    <t xml:space="preserve">Restaurant - motel</t>
  </si>
  <si>
    <t xml:space="preserve">https://www.google.com/maps/search/?api=1&amp;query=Restaurant+and+Motel+Al+Rabih%2C+Aaqoura+village%2C+Lebanon</t>
  </si>
  <si>
    <t xml:space="preserve">Rooms as well as a kitchen - useful for an overnight.</t>
  </si>
  <si>
    <t xml:space="preserve">Pete's Burger</t>
  </si>
  <si>
    <t xml:space="preserve">https://www.google.com/maps/search/?api=1&amp;query=Pete%27s+Burger%2C+Aaqoura+village%2C+Lebanon</t>
  </si>
  <si>
    <t xml:space="preserve">Furn &amp; Saj Sayde</t>
  </si>
  <si>
    <t xml:space="preserve">Bakery - saj</t>
  </si>
  <si>
    <t xml:space="preserve">https://www.google.com/maps/search/?api=1&amp;query=Furn+%26+Saj+Sayde%2C+Aaqoura+village%2C+Lebanon</t>
  </si>
  <si>
    <t xml:space="preserve">Village bakery; the practical breakfast stop.</t>
  </si>
  <si>
    <t xml:space="preserve">Aaqoura highlands</t>
  </si>
  <si>
    <t xml:space="preserve">42 Highlands</t>
  </si>
  <si>
    <t xml:space="preserve">Bar - highland venue</t>
  </si>
  <si>
    <t xml:space="preserve">https://www.google.com/maps/search/?api=1&amp;query=42+Highlands%2C+Aaqoura+highlands%2C+Lebanon</t>
  </si>
  <si>
    <t xml:space="preserve">Seasonal - confirm before driving up.</t>
  </si>
  <si>
    <t xml:space="preserve">Head Shot Club</t>
  </si>
  <si>
    <t xml:space="preserve">https://www.tripadvisor.com/Restaurants-g15023338-El_Aaqoura_Mount_Lebanon_Governorate.html</t>
  </si>
  <si>
    <t xml:space="preserve">https://www.google.com/maps/search/?api=1&amp;query=Head+Shot+Club%2C+Aaqoura+village%2C+Lebanon</t>
  </si>
  <si>
    <t xml:space="preserve">Reviews praise the setting far more than the service.</t>
  </si>
  <si>
    <t xml:space="preserve">Activity / Place</t>
  </si>
  <si>
    <t xml:space="preserve">Category</t>
  </si>
  <si>
    <t xml:space="preserve">What You Can Do</t>
  </si>
  <si>
    <t xml:space="preserve">Season</t>
  </si>
  <si>
    <t xml:space="preserve">Byblos Castle</t>
  </si>
  <si>
    <t xml:space="preserve">Heritage - Castle</t>
  </si>
  <si>
    <t xml:space="preserve">Walk the 12th-century Crusader keep and the archaeological site below it</t>
  </si>
  <si>
    <t xml:space="preserve">Year-round</t>
  </si>
  <si>
    <t xml:space="preserve">https://www.tripadvisor.com/Attractions-g298264-Activities-Byblos_Mount_Lebanon_Governorate.html</t>
  </si>
  <si>
    <t xml:space="preserve">https://www.google.com/maps/search/?api=1&amp;query=Byblos+Castle%2C+Byblos+city%2C+Lebanon</t>
  </si>
  <si>
    <t xml:space="preserve">The anchor sight of the zone; the ticket covers the whole excavation field.</t>
  </si>
  <si>
    <t xml:space="preserve">Memory of Time</t>
  </si>
  <si>
    <t xml:space="preserve">Museum - Specialty</t>
  </si>
  <si>
    <t xml:space="preserve">See one of the world's largest fossil-fish collections, quarried in Mount Lebanon</t>
  </si>
  <si>
    <t xml:space="preserve">https://www.google.com/maps/search/?api=1&amp;query=Memory+of+Time%2C+Byblos+city%2C+Lebanon</t>
  </si>
  <si>
    <t xml:space="preserve">Highest-rated attraction in the entire zone.</t>
  </si>
  <si>
    <t xml:space="preserve">Old Souk</t>
  </si>
  <si>
    <t xml:space="preserve">Heritage - Souk</t>
  </si>
  <si>
    <t xml:space="preserve">Wander the restored medieval lanes, shop crafts, eat and drink</t>
  </si>
  <si>
    <t xml:space="preserve">https://www.google.com/maps/search/?api=1&amp;query=Old+Souk%2C+Byblos+city%2C+Lebanon</t>
  </si>
  <si>
    <t xml:space="preserve">Busiest in the evening; free to walk.</t>
  </si>
  <si>
    <t xml:space="preserve">Byblos Port</t>
  </si>
  <si>
    <t xml:space="preserve">Heritage - Historic harbour</t>
  </si>
  <si>
    <t xml:space="preserve">Photograph the Phoenician harbour, take a short boat run</t>
  </si>
  <si>
    <t xml:space="preserve">https://www.google.com/maps/search/?api=1&amp;query=Byblos+Port%2C+Byblos+city%2C+Lebanon</t>
  </si>
  <si>
    <t xml:space="preserve">Saint John-Marc Cathedral</t>
  </si>
  <si>
    <t xml:space="preserve">Heritage - Religious</t>
  </si>
  <si>
    <t xml:space="preserve">Visit the 12th-century Romanesque crusader church</t>
  </si>
  <si>
    <t xml:space="preserve">https://www.google.com/maps/search/?api=1&amp;query=Saint+John-Marc+Cathedral%2C+Byblos+city%2C+Lebanon</t>
  </si>
  <si>
    <t xml:space="preserve">Monastery of St Maron, Annaya</t>
  </si>
  <si>
    <t xml:space="preserve">Heritage - Pilgrimage</t>
  </si>
  <si>
    <t xml:space="preserve">Visit the shrine and hermitage of Saint Charbel</t>
  </si>
  <si>
    <t xml:space="preserve">https://www.google.com/maps/search/?api=1&amp;query=Monastery+of+St+Maron%2C+Annaya%2C+Annaya%2C+Lebanon</t>
  </si>
  <si>
    <t xml:space="preserve">Lebanon's most visited pilgrimage site after Harissa.</t>
  </si>
  <si>
    <t xml:space="preserve">Modern and Contemporary Art Museum</t>
  </si>
  <si>
    <t xml:space="preserve">Museum - Art</t>
  </si>
  <si>
    <t xml:space="preserve">See Lebanese modern and contemporary collections</t>
  </si>
  <si>
    <t xml:space="preserve">https://www.google.com/maps/search/?api=1&amp;query=Modern+and+Contemporary+Art+Museum%2C+Byblos+city%2C+Lebanon</t>
  </si>
  <si>
    <t xml:space="preserve">Armenian Genocide Orphans' Museum</t>
  </si>
  <si>
    <t xml:space="preserve">Museum - History</t>
  </si>
  <si>
    <t xml:space="preserve">Visit the 'Aram Bezikian' museum on the orphanage site</t>
  </si>
  <si>
    <t xml:space="preserve">https://www.google.com/maps/search/?api=1&amp;query=Armenian+Genocide+Orphans%27+Museum%2C+Byblos+city%2C+Lebanon</t>
  </si>
  <si>
    <t xml:space="preserve">Vero Museum</t>
  </si>
  <si>
    <t xml:space="preserve">Tour the private collection museum</t>
  </si>
  <si>
    <t xml:space="preserve">https://www.google.com/maps/search/?api=1&amp;query=Vero+Museum%2C+Byblos+city%2C+Lebanon</t>
  </si>
  <si>
    <t xml:space="preserve">Hakel</t>
  </si>
  <si>
    <t xml:space="preserve">Expo Hakel</t>
  </si>
  <si>
    <t xml:space="preserve">Museum - Natural history</t>
  </si>
  <si>
    <t xml:space="preserve">See Cretaceous fossil beds and the on-site collection</t>
  </si>
  <si>
    <t xml:space="preserve">https://www.google.com/maps/search/?api=1&amp;query=Expo+Hakel%2C+Hakel%2C+Lebanon</t>
  </si>
  <si>
    <t xml:space="preserve">Outside Byblos city - check access before driving.</t>
  </si>
  <si>
    <t xml:space="preserve">Byblos Wax Museum</t>
  </si>
  <si>
    <t xml:space="preserve">Walk through wax scenes of Lebanese history</t>
  </si>
  <si>
    <t xml:space="preserve">https://www.google.com/maps/search/?api=1&amp;query=Byblos+Wax+Museum%2C+Byblos+city%2C+Lebanon</t>
  </si>
  <si>
    <t xml:space="preserve">Weakest-rated museum in the zone; manage expectations.</t>
  </si>
  <si>
    <t xml:space="preserve">Roman Theater</t>
  </si>
  <si>
    <t xml:space="preserve">Heritage - Archaeology</t>
  </si>
  <si>
    <t xml:space="preserve">See the relocated Roman theatre inside the castle grounds</t>
  </si>
  <si>
    <t xml:space="preserve">https://www.google.com/maps/search/?api=1&amp;query=Roman+Theater%2C+Byblos+city%2C+Lebanon</t>
  </si>
  <si>
    <t xml:space="preserve">Sultan Abdul Majid Mosque</t>
  </si>
  <si>
    <t xml:space="preserve">Visit the Ottoman mosque in the old town</t>
  </si>
  <si>
    <t xml:space="preserve">https://www.google.com/maps/search/?api=1&amp;query=Sultan+Abdul+Majid+Mosque%2C+Byblos+city%2C+Lebanon</t>
  </si>
  <si>
    <t xml:space="preserve">Byblos Public Park</t>
  </si>
  <si>
    <t xml:space="preserve">Parks - Family</t>
  </si>
  <si>
    <t xml:space="preserve">Green space and a family walk in the town centre</t>
  </si>
  <si>
    <t xml:space="preserve">https://www.google.com/maps/search/?api=1&amp;query=Byblos+Public+Park%2C+Byblos+city%2C+Lebanon</t>
  </si>
  <si>
    <t xml:space="preserve">Ayla Beach</t>
  </si>
  <si>
    <t xml:space="preserve">Beach - Water</t>
  </si>
  <si>
    <t xml:space="preserve">Swim and sunbathe on the town beach</t>
  </si>
  <si>
    <t xml:space="preserve">Summer</t>
  </si>
  <si>
    <t xml:space="preserve">https://www.google.com/maps/search/?api=1&amp;query=Ayla+Beach%2C+Byblos+city%2C+Lebanon</t>
  </si>
  <si>
    <t xml:space="preserve">Seasonal.</t>
  </si>
  <si>
    <t xml:space="preserve">Mabaj</t>
  </si>
  <si>
    <t xml:space="preserve">Mabaj Grotto</t>
  </si>
  <si>
    <t xml:space="preserve">Nature - Cave</t>
  </si>
  <si>
    <t xml:space="preserve">Visit the grotto; guided access advised</t>
  </si>
  <si>
    <t xml:space="preserve">Dry season</t>
  </si>
  <si>
    <t xml:space="preserve">https://www.google.com/maps/search/?api=1&amp;query=Mabaj+Grotto%2C+Mabaj%2C+Lebanon</t>
  </si>
  <si>
    <t xml:space="preserve">Very thin public evidence - verify access locally.</t>
  </si>
  <si>
    <t xml:space="preserve">Tactick Escape Games</t>
  </si>
  <si>
    <t xml:space="preserve">Family - Entertainment</t>
  </si>
  <si>
    <t xml:space="preserve">Play escape rooms</t>
  </si>
  <si>
    <t xml:space="preserve">https://www.google.com/maps/search/?api=1&amp;query=Tactick+Escape+Games%2C+Byblos+city%2C+Lebanon</t>
  </si>
  <si>
    <t xml:space="preserve">Byblos International Festival</t>
  </si>
  <si>
    <t xml:space="preserve">Event - Festival</t>
  </si>
  <si>
    <t xml:space="preserve">Attend the summer concert season in the historic port</t>
  </si>
  <si>
    <t xml:space="preserve">https://www.byblosfestival.com/</t>
  </si>
  <si>
    <t xml:space="preserve">https://www.google.com/maps/search/?api=1&amp;query=Byblos+International+Festival%2C+Byblos+city%2C+Lebanon</t>
  </si>
  <si>
    <t xml:space="preserve">Programme confirmed year by year - check the official site for the 2026 edition.</t>
  </si>
  <si>
    <t xml:space="preserve">Edde Sands</t>
  </si>
  <si>
    <t xml:space="preserve">Beach - Resort</t>
  </si>
  <si>
    <t xml:space="preserve">Beach club, pools and seaside dining</t>
  </si>
  <si>
    <t xml:space="preserve">https://www.myguidebeirut.com/things-to-do/edde-sands</t>
  </si>
  <si>
    <t xml:space="preserve">https://www.google.com/maps/search/?api=1&amp;query=Edde+Sands%2C+Byblos+city%2C+Lebanon</t>
  </si>
  <si>
    <t xml:space="preserve">Long-running Byblos beach resort.</t>
  </si>
  <si>
    <t xml:space="preserve">Laqlouq</t>
  </si>
  <si>
    <t xml:space="preserve">Laqlouq Ski Resort</t>
  </si>
  <si>
    <t xml:space="preserve">Sports - Winter</t>
  </si>
  <si>
    <t xml:space="preserve">Ski and snowboard at 1,650-1,920 m across 9 lifts; family and intermediate terrain</t>
  </si>
  <si>
    <t xml:space="preserve">Winter</t>
  </si>
  <si>
    <t xml:space="preserve">https://www.skileb.com/ski-lebanon/resorts/</t>
  </si>
  <si>
    <t xml:space="preserve">https://www.google.com/maps/search/?api=1&amp;query=Laqlouq+Ski+Resort%2C+Laqlouq%2C+Lebanon</t>
  </si>
  <si>
    <t xml:space="preserve">Jbeil district's own ski station; gentler than Mzaar.</t>
  </si>
  <si>
    <t xml:space="preserve">Jounieh - Harissa</t>
  </si>
  <si>
    <t xml:space="preserve">Teleferique (Jounieh to Harissa)</t>
  </si>
  <si>
    <t xml:space="preserve">Sports - Cable car</t>
  </si>
  <si>
    <t xml:space="preserve">Ride the gondola from the bay up to the shrine</t>
  </si>
  <si>
    <t xml:space="preserve">https://www.tripadvisor.com/Attractions-g298267-Activities-Jounieh_Mount_Lebanon_Governorate.html</t>
  </si>
  <si>
    <t xml:space="preserve">https://www.google.com/maps/search/?api=1&amp;query=Teleferique+%28Jounieh+to+Harissa%29%2C+Jounieh+-+Harissa%2C+Lebanon</t>
  </si>
  <si>
    <t xml:space="preserve">The signature experience of the zone; weather-dependent.</t>
  </si>
  <si>
    <t xml:space="preserve">Entertainment - Casino</t>
  </si>
  <si>
    <t xml:space="preserve">Gaming floors, shows at the Salle des Ambassadeurs, dining</t>
  </si>
  <si>
    <t xml:space="preserve">Historic 1959 venue on the north side of the bay.</t>
  </si>
  <si>
    <t xml:space="preserve">Paragliding LESA</t>
  </si>
  <si>
    <t xml:space="preserve">Sports - Adventure</t>
  </si>
  <si>
    <t xml:space="preserve">Tandem paragliding over Jounieh bay</t>
  </si>
  <si>
    <t xml:space="preserve">Spring to autumn</t>
  </si>
  <si>
    <t xml:space="preserve">https://www.google.com/maps/search/?api=1&amp;query=Paragliding+LESA%2C+Jounieh+bay%2C+Lebanon</t>
  </si>
  <si>
    <t xml:space="preserve">Largest review base of any paragliding club here.</t>
  </si>
  <si>
    <t xml:space="preserve">Paragliding Club Thermique</t>
  </si>
  <si>
    <t xml:space="preserve">Tandem flights and courses over the bay</t>
  </si>
  <si>
    <t xml:space="preserve">https://www.google.com/maps/search/?api=1&amp;query=Paragliding+Club+Thermique%2C+Jounieh+bay%2C+Lebanon</t>
  </si>
  <si>
    <t xml:space="preserve">Thrillseekers</t>
  </si>
  <si>
    <t xml:space="preserve">Tandem paragliding and adventure packages</t>
  </si>
  <si>
    <t xml:space="preserve">https://www.google.com/maps/search/?api=1&amp;query=Thrillseekers%2C+Jounieh+bay%2C+Lebanon</t>
  </si>
  <si>
    <t xml:space="preserve">Paragliding Jounieh</t>
  </si>
  <si>
    <t xml:space="preserve">Tandem paragliding flights</t>
  </si>
  <si>
    <t xml:space="preserve">https://www.google.com/maps/search/?api=1&amp;query=Paragliding+Jounieh%2C+Jounieh+bay%2C+Lebanon</t>
  </si>
  <si>
    <t xml:space="preserve">Several operators trade under similar names - confirm which one you book.</t>
  </si>
  <si>
    <t xml:space="preserve">Gravity Outdoor Advisors</t>
  </si>
  <si>
    <t xml:space="preserve">Sports - Gear &amp; guiding</t>
  </si>
  <si>
    <t xml:space="preserve">Rent outdoor gear, book guided trips</t>
  </si>
  <si>
    <t xml:space="preserve">https://www.google.com/maps/search/?api=1&amp;query=Gravity+Outdoor+Advisors%2C+Jounieh%2C+Lebanon</t>
  </si>
  <si>
    <t xml:space="preserve">U-961 Scuba Diving Lebanon</t>
  </si>
  <si>
    <t xml:space="preserve">Sports - Diving</t>
  </si>
  <si>
    <t xml:space="preserve">Dive the bay, including the U-boat wreck site</t>
  </si>
  <si>
    <t xml:space="preserve">https://www.google.com/maps/search/?api=1&amp;query=U-961+Scuba+Diving+Lebanon%2C+Jounieh+bay%2C+Lebanon</t>
  </si>
  <si>
    <t xml:space="preserve">Octopusteam Diving Club</t>
  </si>
  <si>
    <t xml:space="preserve">Scuba and snorkelling trips</t>
  </si>
  <si>
    <t xml:space="preserve">https://www.google.com/maps/search/?api=1&amp;query=Octopusteam+Diving+Club%2C+Jounieh+bay%2C+Lebanon</t>
  </si>
  <si>
    <t xml:space="preserve">Keserwan mountains</t>
  </si>
  <si>
    <t xml:space="preserve">Moon Monkey Adventures</t>
  </si>
  <si>
    <t xml:space="preserve">Sports - Climbing</t>
  </si>
  <si>
    <t xml:space="preserve">Guided climbing and outdoor days</t>
  </si>
  <si>
    <t xml:space="preserve">https://www.google.com/maps/search/?api=1&amp;query=Moon+Monkey+Adventures%2C+Keserwan+mountains%2C+Lebanon</t>
  </si>
  <si>
    <t xml:space="preserve">Jeita</t>
  </si>
  <si>
    <t xml:space="preserve">Jeita Grotto</t>
  </si>
  <si>
    <t xml:space="preserve">Walk the upper gallery and ride the boat through the lower river cave</t>
  </si>
  <si>
    <t xml:space="preserve">Year-round (lower cave closes in high water)</t>
  </si>
  <si>
    <t xml:space="preserve">https://www.tripadvisor.com/Attraction_Review-g2624572-d318145-Reviews-Jeita_Grotto-Jitta_Mount_Lebanon_Governorate.html</t>
  </si>
  <si>
    <t xml:space="preserve">https://www.google.com/maps/search/?api=1&amp;query=Jeita+Grotto%2C+Jeita%2C+Lebanon</t>
  </si>
  <si>
    <t xml:space="preserve">Keserwan's world-famous limestone cave system; lower gallery closes when the river runs high.</t>
  </si>
  <si>
    <t xml:space="preserve">Bkerke</t>
  </si>
  <si>
    <t xml:space="preserve">Maronite Patriarchate, Bkerke</t>
  </si>
  <si>
    <t xml:space="preserve">Visit the seat of the Maronite Church above Jounieh</t>
  </si>
  <si>
    <t xml:space="preserve">https://www.google.com/maps/search/?api=1&amp;query=Maronite+Patriarchate%2C+Bkerke%2C+Bkerke%2C+Lebanon</t>
  </si>
  <si>
    <t xml:space="preserve">Jounieh public beaches and beach clubs</t>
  </si>
  <si>
    <t xml:space="preserve">Swim, sunbathe, beach clubs along the bay</t>
  </si>
  <si>
    <t xml:space="preserve">https://www.google.com/maps/search/?api=1&amp;query=Jounieh+public+beaches+and+beach+clubs%2C+Jounieh+bay%2C+Lebanon</t>
  </si>
  <si>
    <t xml:space="preserve">Quality varies sharply between clubs - check current reviews.</t>
  </si>
  <si>
    <t xml:space="preserve">Afkar Creative</t>
  </si>
  <si>
    <t xml:space="preserve">Family - Workshops</t>
  </si>
  <si>
    <t xml:space="preserve">Paint and pottery studio sessions</t>
  </si>
  <si>
    <t xml:space="preserve">https://www.google.com/maps/search/?api=1&amp;query=Afkar+Creative%2C+Jounieh%2C+Lebanon</t>
  </si>
  <si>
    <t xml:space="preserve">Our Lady of Lebanon Shrine</t>
  </si>
  <si>
    <t xml:space="preserve">Climb the spiral ramp to the bronze statue; visit the modern basilica</t>
  </si>
  <si>
    <t xml:space="preserve">https://www.tripadvisor.com/Attraction_Review-g1598721-d555753-Reviews-The_Shrine_of_Our_Lady_of_Lebanon-Harissa_Mount_Lebanon_Governorate.html</t>
  </si>
  <si>
    <t xml:space="preserve">https://www.google.com/maps/search/?api=1&amp;query=Our+Lady+of+Lebanon+Shrine%2C+Harissa%2C+Lebanon</t>
  </si>
  <si>
    <t xml:space="preserve">Lebanon's most visited religious site; free entry, busiest on Sundays and in May.</t>
  </si>
  <si>
    <t xml:space="preserve">Saint Paul Basilica</t>
  </si>
  <si>
    <t xml:space="preserve">Visit the Melkite Greek Catholic basilica beside the shrine</t>
  </si>
  <si>
    <t xml:space="preserve">https://www.google.com/maps/search/?api=1&amp;query=Saint+Paul+Basilica%2C+Harissa%2C+Lebanon</t>
  </si>
  <si>
    <t xml:space="preserve">Byzantine-style interior; a short walk from the statue.</t>
  </si>
  <si>
    <t xml:space="preserve">Harissa ridge viewpoints</t>
  </si>
  <si>
    <t xml:space="preserve">Nature - Viewpoint</t>
  </si>
  <si>
    <t xml:space="preserve">Panoramic views over Jounieh bay, best at sunset</t>
  </si>
  <si>
    <t xml:space="preserve">https://www.google.com/maps/search/?api=1&amp;query=Harissa+ridge+viewpoints%2C+Harissa%2C+Lebanon</t>
  </si>
  <si>
    <t xml:space="preserve">Several terraces and cafes share the same view line.</t>
  </si>
  <si>
    <t xml:space="preserve">Daraoun</t>
  </si>
  <si>
    <t xml:space="preserve">Teleferique upper station</t>
  </si>
  <si>
    <t xml:space="preserve">Arrival plaza, food court and shops at the top of the gondola</t>
  </si>
  <si>
    <t xml:space="preserve">https://www.google.com/maps/search/?api=1&amp;query=Teleferique+upper+station%2C+Daraoun%2C+Lebanon</t>
  </si>
  <si>
    <t xml:space="preserve">Same operation as the Jounieh station.</t>
  </si>
  <si>
    <t xml:space="preserve">Mzaar Kfardebian Ski Resort</t>
  </si>
  <si>
    <t xml:space="preserve">Ski and snowboard from 1,830 m to 2,465 m across 18 lifts, up to black runs</t>
  </si>
  <si>
    <t xml:space="preserve">https://www.google.com/maps/search/?api=1&amp;query=Mzaar+Kfardebian+Ski+Resort%2C+Mzaar%2C+Lebanon</t>
  </si>
  <si>
    <t xml:space="preserve">The largest ski area in the Middle East; summer use for hiking and events.</t>
  </si>
  <si>
    <t xml:space="preserve">Faqra Roman Temple and ruins</t>
  </si>
  <si>
    <t xml:space="preserve">Walk the Roman temple, tower and altar complex at 1,500 m</t>
  </si>
  <si>
    <t xml:space="preserve">https://www.tripadvisor.com/Attractions-g298268-Activities-Kfardebian_Mount_Lebanon_Governorate.html</t>
  </si>
  <si>
    <t xml:space="preserve">https://www.google.com/maps/search/?api=1&amp;query=Faqra+Roman+Temple+and+ruins%2C+Faqra%2C+Lebanon</t>
  </si>
  <si>
    <t xml:space="preserve">Snow-covered and hard to reach in deep winter.</t>
  </si>
  <si>
    <t xml:space="preserve">Jisr el Hajar (Natural Bridge)</t>
  </si>
  <si>
    <t xml:space="preserve">Nature - Geology</t>
  </si>
  <si>
    <t xml:space="preserve">See the limestone natural bridge over the Nabaa el Laban gorge</t>
  </si>
  <si>
    <t xml:space="preserve">https://www.google.com/maps/search/?api=1&amp;query=Jisr+el+Hajar+%28Natural+Bridge%29%2C+Kfardebian%2C+Lebanon</t>
  </si>
  <si>
    <t xml:space="preserve">Roadside viewpoint plus a short scramble down.</t>
  </si>
  <si>
    <t xml:space="preserve">Wadi el Salib</t>
  </si>
  <si>
    <t xml:space="preserve">Nature - Hiking</t>
  </si>
  <si>
    <t xml:space="preserve">Hike the valley trail below the village</t>
  </si>
  <si>
    <t xml:space="preserve">https://www.google.com/maps/search/?api=1&amp;query=Wadi+el+Salib%2C+Kfardebian%2C+Lebanon</t>
  </si>
  <si>
    <t xml:space="preserve">Chabrouh Dam</t>
  </si>
  <si>
    <t xml:space="preserve">Nature - Water</t>
  </si>
  <si>
    <t xml:space="preserve">Walk and photograph the reservoir; LMT section 13 passes here</t>
  </si>
  <si>
    <t xml:space="preserve">https://bamleb.com/guide/hiking-trails/lmt-13-faraya-chabrouh-kfardebian</t>
  </si>
  <si>
    <t xml:space="preserve">https://www.google.com/maps/search/?api=1&amp;query=Chabrouh+Dam%2C+Kfardebian%2C+Lebanon</t>
  </si>
  <si>
    <t xml:space="preserve">On the Lebanon Mountain Trail, Faraya-Chabrouh stage.</t>
  </si>
  <si>
    <t xml:space="preserve">ProX Riding Club</t>
  </si>
  <si>
    <t xml:space="preserve">Sports - Off-road</t>
  </si>
  <si>
    <t xml:space="preserve">ATV, buggy and off-road riding</t>
  </si>
  <si>
    <t xml:space="preserve">https://www.google.com/maps/search/?api=1&amp;query=ProX+Riding+Club%2C+Kfardebian%2C+Lebanon</t>
  </si>
  <si>
    <t xml:space="preserve">Highlandclub</t>
  </si>
  <si>
    <t xml:space="preserve">4WD, ATV and off-road tours</t>
  </si>
  <si>
    <t xml:space="preserve">https://www.google.com/maps/search/?api=1&amp;query=Highlandclub%2C+Kfardebian%2C+Lebanon</t>
  </si>
  <si>
    <t xml:space="preserve">Twintip Ski School and Club</t>
  </si>
  <si>
    <t xml:space="preserve">Ski and snowboard lessons, club programmes</t>
  </si>
  <si>
    <t xml:space="preserve">https://www.google.com/maps/search/?api=1&amp;query=Twintip+Ski+School+and+Club%2C+Mzaar%2C+Lebanon</t>
  </si>
  <si>
    <t xml:space="preserve">Adventure Team Ski School</t>
  </si>
  <si>
    <t xml:space="preserve">Ski lessons and snow tours</t>
  </si>
  <si>
    <t xml:space="preserve">https://www.google.com/maps/search/?api=1&amp;query=Adventure+Team+Ski+School%2C+Mzaar%2C+Lebanon</t>
  </si>
  <si>
    <t xml:space="preserve">Vignoble Joura</t>
  </si>
  <si>
    <t xml:space="preserve">Food - Winery</t>
  </si>
  <si>
    <t xml:space="preserve">High-altitude vineyard and tasting</t>
  </si>
  <si>
    <t xml:space="preserve">https://www.google.com/maps/search/?api=1&amp;query=Vignoble+Joura%2C+Kfardebian%2C+Lebanon</t>
  </si>
  <si>
    <t xml:space="preserve">Call ahead; small operation.</t>
  </si>
  <si>
    <t xml:space="preserve">Art &amp; Work</t>
  </si>
  <si>
    <t xml:space="preserve">Craft and art workshops</t>
  </si>
  <si>
    <t xml:space="preserve">https://www.google.com/maps/search/?api=1&amp;query=Art+%26+Work%2C+Kfardebian%2C+Lebanon</t>
  </si>
  <si>
    <t xml:space="preserve">Snowshoe and snowmobile outings</t>
  </si>
  <si>
    <t xml:space="preserve">Snowshoe walks, snowmobile hire outside the pistes</t>
  </si>
  <si>
    <t xml:space="preserve">https://www.google.com/maps/search/?api=1&amp;query=Snowshoe+and+snowmobile+outings%2C+Kfardebian%2C+Lebanon</t>
  </si>
  <si>
    <t xml:space="preserve">Multiple small operators; book through the resort or a local club.</t>
  </si>
  <si>
    <t xml:space="preserve">Aaqoura</t>
  </si>
  <si>
    <t xml:space="preserve">Aaqoura Lakes</t>
  </si>
  <si>
    <t xml:space="preserve">Hike, picnic and photograph the terraced mountain reservoirs at ~1,600 m</t>
  </si>
  <si>
    <t xml:space="preserve">April to October</t>
  </si>
  <si>
    <t xml:space="preserve">https://lebanonaholic.com/aaqoura-lakes-tour/</t>
  </si>
  <si>
    <t xml:space="preserve">https://www.google.com/maps/search/?api=1&amp;query=Aaqoura+Lakes%2C+Aaqoura%2C+Lebanon</t>
  </si>
  <si>
    <t xml:space="preserve">About 68 km from Beirut; winter access is snow-dependent.</t>
  </si>
  <si>
    <t xml:space="preserve">Afqa</t>
  </si>
  <si>
    <t xml:space="preserve">Afqa Waterfall and Grotto</t>
  </si>
  <si>
    <t xml:space="preserve">Nature - Waterfall</t>
  </si>
  <si>
    <t xml:space="preserve">See the cave source of the Nahr Ibrahim (Adonis) river and the falls below it</t>
  </si>
  <si>
    <t xml:space="preserve">Spring (peak flow) to autumn</t>
  </si>
  <si>
    <t xml:space="preserve">https://lebanonaholic.com/afqa-waterfall-tour/</t>
  </si>
  <si>
    <t xml:space="preserve">https://www.google.com/maps/search/?api=1&amp;query=Afqa+Waterfall+and+Grotto%2C+Afqa%2C+Lebanon</t>
  </si>
  <si>
    <t xml:space="preserve">Strongest in spring snowmelt; the falls thin out by late summer.</t>
  </si>
  <si>
    <t xml:space="preserve">Adonis valley</t>
  </si>
  <si>
    <t xml:space="preserve">Nahr Ibrahim (Adonis) valley</t>
  </si>
  <si>
    <t xml:space="preserve">Drive or hike the valley of the Adonis myth, between Afqa and the coast</t>
  </si>
  <si>
    <t xml:space="preserve">https://www.google.com/maps/search/?api=1&amp;query=Nahr+Ibrahim+%28Adonis%29+valley%2C+Adonis+valley%2C+Lebanon</t>
  </si>
  <si>
    <t xml:space="preserve">Links Aqoura down to Byblos - the natural way to combine the two areas.</t>
  </si>
  <si>
    <t xml:space="preserve">Temple of Venus, Afqa</t>
  </si>
  <si>
    <t xml:space="preserve">See the Roman temple ruins beside the spring</t>
  </si>
  <si>
    <t xml:space="preserve">https://www.google.com/maps/search/?api=1&amp;query=Temple+of+Venus%2C+Afqa%2C+Afqa%2C+Lebanon</t>
  </si>
  <si>
    <t xml:space="preserve">Associated with the Adonis and Astarte cult.</t>
  </si>
  <si>
    <t xml:space="preserve">Saydet al Qarn convent</t>
  </si>
  <si>
    <t xml:space="preserve">Visit the cliff-top convent above the village</t>
  </si>
  <si>
    <t xml:space="preserve">https://www.pbvliban.org/village/aaqoura/</t>
  </si>
  <si>
    <t xml:space="preserve">https://www.google.com/maps/search/?api=1&amp;query=Saydet+al+Qarn+convent%2C+Aaqoura%2C+Lebanon</t>
  </si>
  <si>
    <t xml:space="preserve">Dramatic setting; the road up is narrow.</t>
  </si>
  <si>
    <t xml:space="preserve">Rock-cut church of St Peter</t>
  </si>
  <si>
    <t xml:space="preserve">See the church carved into the cliff face</t>
  </si>
  <si>
    <t xml:space="preserve">https://www.google.com/maps/search/?api=1&amp;query=Rock-cut+church+of+St+Peter%2C+Aaqoura%2C+Lebanon</t>
  </si>
  <si>
    <t xml:space="preserve">Part of Aaqoura's cluster of rock-cut sanctuaries.</t>
  </si>
  <si>
    <t xml:space="preserve">Aaqoura rock tombs and grottoes</t>
  </si>
  <si>
    <t xml:space="preserve">See pre-Christian rock-cut tombs and sacred grottoes in the cliffs</t>
  </si>
  <si>
    <t xml:space="preserve">https://www.google.com/maps/search/?api=1&amp;query=Aaqoura+rock+tombs+and+grottoes%2C+Aaqoura%2C+Lebanon</t>
  </si>
  <si>
    <t xml:space="preserve">Aaqoura is classed among Lebanon's 'most beautiful villages'.</t>
  </si>
  <si>
    <t xml:space="preserve">High-mountain hiking and picnics</t>
  </si>
  <si>
    <t xml:space="preserve">Open-country walking, drone photography, mountain picnics</t>
  </si>
  <si>
    <t xml:space="preserve">https://www.google.com/maps/search/?api=1&amp;query=High-mountain+hiking+and+picnics%2C+Aaqoura+highlands%2C+Lebanon</t>
  </si>
  <si>
    <t xml:space="preserve">No marked network - go with a guide or a route file.</t>
  </si>
  <si>
    <t xml:space="preserve">Counts reflect what is publicly indexed today; on-the-ground checks will find unlisted places, especially in villages.</t>
  </si>
  <si>
    <t xml:space="preserve">Geographic Interpretation</t>
  </si>
  <si>
    <t xml:space="preserve">Included Localities</t>
  </si>
  <si>
    <t xml:space="preserve">Excluded / Caution</t>
  </si>
  <si>
    <t xml:space="preserve">Jounieh bay city and the continuous coastal strip of southern Keserwan.</t>
  </si>
  <si>
    <t xml:space="preserve">Jounieh city, Kaslik, Sarba, Maameltein, Haret Sakher, Zouk Mosbeh, Ghazir, Kfarhbab, Adma</t>
  </si>
  <si>
    <t xml:space="preserve">Zouk Mosbeh and Ghazir are separate towns - never label them 'Jounieh city'.</t>
  </si>
  <si>
    <t xml:space="preserve">The pilgrimage plateau above Jounieh, reached by road or cable car.</t>
  </si>
  <si>
    <t xml:space="preserve">Harissa, Daraoun, teleferique upper station</t>
  </si>
  <si>
    <t xml:space="preserve">Some platforms file Harissa venues under Jounieh; check the Exact Locality field.</t>
  </si>
  <si>
    <t xml:space="preserve">Kfardebian municipality, covering the village, Faqra and the Mzaar ski area.</t>
  </si>
  <si>
    <t xml:space="preserve">Faraya village, Kfardebian, Faqra, Mzaar</t>
  </si>
  <si>
    <t xml:space="preserve">'Faraya' colloquially covers all of it; administratively the municipality is Kfardebian.</t>
  </si>
  <si>
    <t xml:space="preserve">Byblos/Jbeil city and its immediate neighbours in Jbeil district.</t>
  </si>
  <si>
    <t xml:space="preserve">Byblos city, Mina Jbeil, Byblos Sud, Amchit, Annaya, Hakel, Laqlouq</t>
  </si>
  <si>
    <t xml:space="preserve">Annaya and Laqlouq are mountain villages well inland - do not treat them as coastal Byblos.</t>
  </si>
  <si>
    <t xml:space="preserve">High Jbeil district: Aaqoura village and the upper Adonis valley.</t>
  </si>
  <si>
    <t xml:space="preserve">Aaqoura village, Aaqoura highlands, Afqa, Nahr Ibrahim valley</t>
  </si>
  <si>
    <t xml:space="preserve">Winter access is snow-dependent; several sites need a guide or 4WD.</t>
  </si>
  <si>
    <t xml:space="preserve">Source</t>
  </si>
  <si>
    <t xml:space="preserve">URL</t>
  </si>
  <si>
    <t xml:space="preserve">Coverage</t>
  </si>
  <si>
    <t xml:space="preserve">Use</t>
  </si>
  <si>
    <t xml:space="preserve">Tripadvisor - Byblos restaurants</t>
  </si>
  <si>
    <t xml:space="preserve">Ratings and review counts for the main Byblos dining names.</t>
  </si>
  <si>
    <t xml:space="preserve">Tripadvisor - Byblos cafes</t>
  </si>
  <si>
    <t xml:space="preserve">Coffee-shop ratings.</t>
  </si>
  <si>
    <t xml:space="preserve">Tripadvisor - Byblos attractions</t>
  </si>
  <si>
    <t xml:space="preserve">Ranked attractions with review volume.</t>
  </si>
  <si>
    <t xml:space="preserve">Tripadvisor - Jounieh restaurants</t>
  </si>
  <si>
    <t xml:space="preserve">Jounieh, Harissa</t>
  </si>
  <si>
    <t xml:space="preserve">Ratings for the top Jounieh-bay tables.</t>
  </si>
  <si>
    <t xml:space="preserve">Tripadvisor - Jounieh attractions</t>
  </si>
  <si>
    <t xml:space="preserve">Cable car, casino, paragliding and diving operators.</t>
  </si>
  <si>
    <t xml:space="preserve">Tripadvisor - Kfardebian restaurants</t>
  </si>
  <si>
    <t xml:space="preserve">Ratings for Faraya, Faqra and Mzaar restaurants.</t>
  </si>
  <si>
    <t xml:space="preserve">Tripadvisor - Kfardebian attractions</t>
  </si>
  <si>
    <t xml:space="preserve">Ski area, Faqra ruins, natural bridge, off-road clubs.</t>
  </si>
  <si>
    <t xml:space="preserve">Tripadvisor - El Aaqoura restaurants</t>
  </si>
  <si>
    <t xml:space="preserve">Confirms how thin the reviewed dining scene is.</t>
  </si>
  <si>
    <t xml:space="preserve">Tripadvisor - Our Lady of Lebanon</t>
  </si>
  <si>
    <t xml:space="preserve">Shrine visitor information.</t>
  </si>
  <si>
    <t xml:space="preserve">Tripadvisor - Jeita Grotto</t>
  </si>
  <si>
    <t xml:space="preserve">Keserwan</t>
  </si>
  <si>
    <t xml:space="preserve">Cave galleries and seasonal closure of the lower river cave.</t>
  </si>
  <si>
    <t xml:space="preserve">WenRayhin - Byblos</t>
  </si>
  <si>
    <t xml:space="preserve">Exact-town food and drink listings (OSM / Google Places).</t>
  </si>
  <si>
    <t xml:space="preserve">WenRayhin - Jounieh</t>
  </si>
  <si>
    <t xml:space="preserve">Exact-town food and drink listings.</t>
  </si>
  <si>
    <t xml:space="preserve">WenRayhin - Zouk Mosbeh</t>
  </si>
  <si>
    <t xml:space="preserve">Zouk Mosbeh listings kept as their own locality.</t>
  </si>
  <si>
    <t xml:space="preserve">WenRayhin - Ghazir</t>
  </si>
  <si>
    <t xml:space="preserve">Ghazir and Kfarhbab listings.</t>
  </si>
  <si>
    <t xml:space="preserve">WenRayhin - Harissa</t>
  </si>
  <si>
    <t xml:space="preserve">Plateau venue listings.</t>
  </si>
  <si>
    <t xml:space="preserve">WenRayhin - Kfardebian</t>
  </si>
  <si>
    <t xml:space="preserve">Faraya, Faqra and Mzaar venue listings.</t>
  </si>
  <si>
    <t xml:space="preserve">WenRayhin - Aamchit</t>
  </si>
  <si>
    <t xml:space="preserve">Amchit listings kept separate from Byblos city.</t>
  </si>
  <si>
    <t xml:space="preserve">WenRayhin - Aaqoura</t>
  </si>
  <si>
    <t xml:space="preserve">The complete village food listing - six venues.</t>
  </si>
  <si>
    <t xml:space="preserve">SkiLeb - Lebanon resorts</t>
  </si>
  <si>
    <t xml:space="preserve">Faraya, Byblos</t>
  </si>
  <si>
    <t xml:space="preserve">Mzaar and Laqlouq altitude ranges, lift counts, difficulty.</t>
  </si>
  <si>
    <t xml:space="preserve">Lebanonaholic - Aaqoura Lakes</t>
  </si>
  <si>
    <t xml:space="preserve">Lake altitude, distance from Beirut, best season.</t>
  </si>
  <si>
    <t xml:space="preserve">Lebanonaholic - Afqa Waterfall</t>
  </si>
  <si>
    <t xml:space="preserve">Afqa grotto, Adonis river source, seasonality.</t>
  </si>
  <si>
    <t xml:space="preserve">Les Plus Beaux Villages du Liban - Aaqoura</t>
  </si>
  <si>
    <t xml:space="preserve">Rock-cut churches, convents and heritage designation.</t>
  </si>
  <si>
    <t xml:space="preserve">Summer festival programme and edition status.</t>
  </si>
  <si>
    <t xml:space="preserve">Art and Then Some - Jbeil dining guide</t>
  </si>
  <si>
    <t xml:space="preserve">Current descriptive detail for headline Byblos restaurants.</t>
  </si>
  <si>
    <t xml:space="preserve">BAM - LMT stage 13 Faraya/Chabrouh</t>
  </si>
  <si>
    <t xml:space="preserve">Lebanon Mountain Trail routing through Chabrouh.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</si>
</sst>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B36A3C"/>
        <bgColor rgb="FF808080"/>
      </patternFill>
    </fill>
    <fill>
      <patternFill patternType="solid">
        <fgColor rgb="FFF3EE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C2"/>
      </left>
      <right style="thin">
        <color rgb="FFD8CFC2"/>
      </right>
      <top style="thin">
        <color rgb="FFD8CFC2"/>
      </top>
      <bottom style="thin">
        <color rgb="FFD8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6A3C"/>
      <rgbColor rgb="FF800080"/>
      <rgbColor rgb="FF008080"/>
      <rgbColor rgb="FFD8CFC2"/>
      <rgbColor rgb="FF808080"/>
      <rgbColor rgb="FF9999FF"/>
      <rgbColor rgb="FF993366"/>
      <rgbColor rgb="FFF3EE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2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  <c r="D4" s="5" t="s">
        <v>4</v>
      </c>
      <c r="E4" s="5" t="s">
        <v>5</v>
      </c>
      <c r="G4" s="6" t="s">
        <v>6</v>
      </c>
      <c r="H4" s="6" t="s">
        <v>7</v>
      </c>
      <c r="I4" s="6" t="s">
        <v>8</v>
      </c>
    </row>
    <row r="5" customFormat="false" ht="30" hidden="false" customHeight="true" outlineLevel="0" collapsed="false">
      <c r="A5" s="3" t="s">
        <v>9</v>
      </c>
      <c r="B5" s="4" t="s">
        <v>10</v>
      </c>
      <c r="D5" s="7" t="s">
        <v>11</v>
      </c>
      <c r="E5" s="8" t="n">
        <v>5</v>
      </c>
      <c r="G5" s="7" t="s">
        <v>12</v>
      </c>
      <c r="H5" s="7" t="n">
        <f aca="false">COUNTIF('Food &amp; Drink'!$B$2:$B$259,G5)</f>
        <v>102</v>
      </c>
      <c r="I5" s="7" t="n">
        <f aca="false">COUNTIF(Activities!$B$2:$B$59,G5)</f>
        <v>14</v>
      </c>
    </row>
    <row r="6" customFormat="false" ht="30" hidden="false" customHeight="true" outlineLevel="0" collapsed="false">
      <c r="A6" s="3" t="s">
        <v>13</v>
      </c>
      <c r="B6" s="4" t="s">
        <v>14</v>
      </c>
      <c r="D6" s="7" t="s">
        <v>15</v>
      </c>
      <c r="E6" s="8" t="n">
        <f aca="false">COUNTA('Food &amp; Drink'!D2:D259)</f>
        <v>258</v>
      </c>
      <c r="G6" s="7" t="s">
        <v>16</v>
      </c>
      <c r="H6" s="7" t="n">
        <f aca="false">COUNTIF('Food &amp; Drink'!$B$2:$B$259,G6)</f>
        <v>27</v>
      </c>
      <c r="I6" s="7" t="n">
        <f aca="false">COUNTIF(Activities!$B$2:$B$59,G6)</f>
        <v>4</v>
      </c>
    </row>
    <row r="7" customFormat="false" ht="30" hidden="false" customHeight="true" outlineLevel="0" collapsed="false">
      <c r="A7" s="3" t="s">
        <v>17</v>
      </c>
      <c r="B7" s="4" t="s">
        <v>18</v>
      </c>
      <c r="D7" s="7" t="s">
        <v>19</v>
      </c>
      <c r="E7" s="8" t="n">
        <f aca="false">COUNTA(Activities!D2:D59)</f>
        <v>58</v>
      </c>
      <c r="G7" s="7" t="s">
        <v>20</v>
      </c>
      <c r="H7" s="7" t="n">
        <f aca="false">COUNTIF('Food &amp; Drink'!$B$2:$B$259,G7)</f>
        <v>41</v>
      </c>
      <c r="I7" s="7" t="n">
        <f aca="false">COUNTIF(Activities!$B$2:$B$59,G7)</f>
        <v>12</v>
      </c>
    </row>
    <row r="8" customFormat="false" ht="30" hidden="false" customHeight="true" outlineLevel="0" collapsed="false">
      <c r="A8" s="3" t="s">
        <v>21</v>
      </c>
      <c r="B8" s="4" t="s">
        <v>22</v>
      </c>
      <c r="D8" s="7" t="s">
        <v>23</v>
      </c>
      <c r="E8" s="8" t="n">
        <f aca="false">SUMPRODUCT((COUNTIF('Food &amp; Drink'!C2:C259,'Food &amp; Drink'!C2:C259)&gt;0)/COUNTIF('Food &amp; Drink'!C2:C259,'Food &amp; Drink'!C2:C259))</f>
        <v>29</v>
      </c>
      <c r="G8" s="7" t="s">
        <v>24</v>
      </c>
      <c r="H8" s="7" t="n">
        <f aca="false">COUNTIF('Food &amp; Drink'!$B$2:$B$259,G8)</f>
        <v>81</v>
      </c>
      <c r="I8" s="7" t="n">
        <f aca="false">COUNTIF(Activities!$B$2:$B$59,G8)</f>
        <v>20</v>
      </c>
    </row>
    <row r="9" customFormat="false" ht="30" hidden="false" customHeight="true" outlineLevel="0" collapsed="false">
      <c r="A9" s="3" t="s">
        <v>25</v>
      </c>
      <c r="B9" s="4" t="s">
        <v>26</v>
      </c>
      <c r="D9" s="7" t="s">
        <v>27</v>
      </c>
      <c r="E9" s="8" t="n">
        <f aca="false">COUNT('Food &amp; Drink'!G2:G259)+COUNT(Activities!F2:F59)</f>
        <v>70</v>
      </c>
      <c r="G9" s="7" t="s">
        <v>28</v>
      </c>
      <c r="H9" s="7" t="n">
        <f aca="false">COUNTIF('Food &amp; Drink'!$B$2:$B$259,G9)</f>
        <v>7</v>
      </c>
      <c r="I9" s="7" t="n">
        <f aca="false">COUNTIF(Activities!$B$2:$B$59,G9)</f>
        <v>8</v>
      </c>
    </row>
    <row r="10" customFormat="false" ht="15" hidden="false" customHeight="false" outlineLevel="0" collapsed="false">
      <c r="D10" s="7" t="s">
        <v>29</v>
      </c>
      <c r="E10" s="8" t="n">
        <f aca="false">COUNTIF('Food &amp; Drink'!I2:I259,"High")+COUNTIF(Activities!I2:I59,"High")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52"/>
  </cols>
  <sheetData>
    <row r="1" customFormat="false" ht="27.75" hidden="false" customHeight="true" outlineLevel="0" collapsed="false">
      <c r="A1" s="9" t="s">
        <v>6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</row>
    <row r="2" customFormat="false" ht="45.75" hidden="false" customHeight="true" outlineLevel="0" collapsed="false">
      <c r="A2" s="10" t="s">
        <v>12</v>
      </c>
      <c r="B2" s="10" t="s">
        <v>37</v>
      </c>
      <c r="C2" s="10" t="n">
        <f aca="false">COUNTIF('Food &amp; Drink'!$B$2:$B$259,$A2)</f>
        <v>102</v>
      </c>
      <c r="D2" s="10" t="n">
        <f aca="false">COUNTIF(Activities!$B$2:$B$59,$A2)</f>
        <v>14</v>
      </c>
      <c r="E2" s="10" t="n">
        <f aca="false">COUNTIFS('Food &amp; Drink'!$B$2:$B$259,$A2,'Food &amp; Drink'!$I$2:$I$259,"High")+COUNTIFS(Activities!$B$2:$B$59,$A2,Activities!$I$2:$I$59,"High")</f>
        <v>32</v>
      </c>
      <c r="F2" s="10" t="n">
        <f aca="false">COUNTIFS('Food &amp; Drink'!$B$2:$B$259,$A2,'Food &amp; Drink'!$G$2:$G$259,"&gt;0")</f>
        <v>9</v>
      </c>
      <c r="G2" s="10" t="n">
        <v>14</v>
      </c>
      <c r="H2" s="10" t="s">
        <v>38</v>
      </c>
    </row>
    <row r="3" customFormat="false" ht="45.75" hidden="false" customHeight="true" outlineLevel="0" collapsed="false">
      <c r="A3" s="11" t="s">
        <v>16</v>
      </c>
      <c r="B3" s="11" t="s">
        <v>39</v>
      </c>
      <c r="C3" s="11" t="n">
        <f aca="false">COUNTIF('Food &amp; Drink'!$B$2:$B$259,$A3)</f>
        <v>27</v>
      </c>
      <c r="D3" s="11" t="n">
        <f aca="false">COUNTIF(Activities!$B$2:$B$59,$A3)</f>
        <v>4</v>
      </c>
      <c r="E3" s="11" t="n">
        <f aca="false">COUNTIFS('Food &amp; Drink'!$B$2:$B$259,$A3,'Food &amp; Drink'!$I$2:$I$259,"High")+COUNTIFS(Activities!$B$2:$B$59,$A3,Activities!$I$2:$I$59,"High")</f>
        <v>6</v>
      </c>
      <c r="F3" s="11" t="n">
        <f aca="false">COUNTIFS('Food &amp; Drink'!$B$2:$B$259,$A3,'Food &amp; Drink'!$G$2:$G$259,"&gt;0")</f>
        <v>1</v>
      </c>
      <c r="G3" s="11" t="n">
        <v>2</v>
      </c>
      <c r="H3" s="11" t="s">
        <v>40</v>
      </c>
    </row>
    <row r="4" customFormat="false" ht="45.75" hidden="false" customHeight="true" outlineLevel="0" collapsed="false">
      <c r="A4" s="10" t="s">
        <v>20</v>
      </c>
      <c r="B4" s="10" t="s">
        <v>41</v>
      </c>
      <c r="C4" s="10" t="n">
        <f aca="false">COUNTIF('Food &amp; Drink'!$B$2:$B$259,$A4)</f>
        <v>41</v>
      </c>
      <c r="D4" s="10" t="n">
        <f aca="false">COUNTIF(Activities!$B$2:$B$59,$A4)</f>
        <v>12</v>
      </c>
      <c r="E4" s="10" t="n">
        <f aca="false">COUNTIFS('Food &amp; Drink'!$B$2:$B$259,$A4,'Food &amp; Drink'!$I$2:$I$259,"High")+COUNTIFS(Activities!$B$2:$B$59,$A4,Activities!$I$2:$I$59,"High")</f>
        <v>11</v>
      </c>
      <c r="F4" s="10" t="n">
        <f aca="false">COUNTIFS('Food &amp; Drink'!$B$2:$B$259,$A4,'Food &amp; Drink'!$G$2:$G$259,"&gt;0")</f>
        <v>10</v>
      </c>
      <c r="G4" s="10" t="n">
        <v>4</v>
      </c>
      <c r="H4" s="10" t="s">
        <v>42</v>
      </c>
    </row>
    <row r="5" customFormat="false" ht="45.75" hidden="false" customHeight="true" outlineLevel="0" collapsed="false">
      <c r="A5" s="11" t="s">
        <v>24</v>
      </c>
      <c r="B5" s="11" t="s">
        <v>43</v>
      </c>
      <c r="C5" s="11" t="n">
        <f aca="false">COUNTIF('Food &amp; Drink'!$B$2:$B$259,$A5)</f>
        <v>81</v>
      </c>
      <c r="D5" s="11" t="n">
        <f aca="false">COUNTIF(Activities!$B$2:$B$59,$A5)</f>
        <v>20</v>
      </c>
      <c r="E5" s="11" t="n">
        <f aca="false">COUNTIFS('Food &amp; Drink'!$B$2:$B$259,$A5,'Food &amp; Drink'!$I$2:$I$259,"High")+COUNTIFS(Activities!$B$2:$B$59,$A5,Activities!$I$2:$I$59,"High")</f>
        <v>35</v>
      </c>
      <c r="F5" s="11" t="n">
        <f aca="false">COUNTIFS('Food &amp; Drink'!$B$2:$B$259,$A5,'Food &amp; Drink'!$G$2:$G$259,"&gt;0")</f>
        <v>16</v>
      </c>
      <c r="G5" s="11" t="n">
        <v>15</v>
      </c>
      <c r="H5" s="11" t="s">
        <v>44</v>
      </c>
    </row>
    <row r="6" customFormat="false" ht="45.75" hidden="false" customHeight="true" outlineLevel="0" collapsed="false">
      <c r="A6" s="10" t="s">
        <v>28</v>
      </c>
      <c r="B6" s="10" t="s">
        <v>45</v>
      </c>
      <c r="C6" s="10" t="n">
        <f aca="false">COUNTIF('Food &amp; Drink'!$B$2:$B$259,$A6)</f>
        <v>7</v>
      </c>
      <c r="D6" s="10" t="n">
        <f aca="false">COUNTIF(Activities!$B$2:$B$59,$A6)</f>
        <v>8</v>
      </c>
      <c r="E6" s="10" t="n">
        <f aca="false">COUNTIFS('Food &amp; Drink'!$B$2:$B$259,$A6,'Food &amp; Drink'!$I$2:$I$259,"High")+COUNTIFS(Activities!$B$2:$B$59,$A6,Activities!$I$2:$I$59,"High")</f>
        <v>4</v>
      </c>
      <c r="F6" s="10" t="n">
        <f aca="false">COUNTIFS('Food &amp; Drink'!$B$2:$B$259,$A6,'Food &amp; Drink'!$G$2:$G$259,"&gt;0")</f>
        <v>1</v>
      </c>
      <c r="G6" s="10" t="n">
        <v>5</v>
      </c>
      <c r="H6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2" min="11" style="0" width="44"/>
    <col collapsed="false" customWidth="true" hidden="false" outlineLevel="0" max="13" min="13" style="0" width="46"/>
    <col collapsed="false" customWidth="true" hidden="false" outlineLevel="0" max="14" min="14" style="0" width="12"/>
  </cols>
  <sheetData>
    <row r="1" customFormat="false" ht="27.75" hidden="false" customHeight="true" outlineLevel="0" collapsed="false">
      <c r="A1" s="9" t="s">
        <v>47</v>
      </c>
      <c r="B1" s="9" t="s">
        <v>6</v>
      </c>
      <c r="C1" s="9" t="s">
        <v>48</v>
      </c>
      <c r="D1" s="9" t="s">
        <v>49</v>
      </c>
      <c r="E1" s="9" t="s">
        <v>50</v>
      </c>
      <c r="F1" s="9" t="s">
        <v>51</v>
      </c>
      <c r="G1" s="9" t="s">
        <v>52</v>
      </c>
      <c r="H1" s="9" t="s">
        <v>53</v>
      </c>
      <c r="I1" s="9" t="s">
        <v>25</v>
      </c>
      <c r="J1" s="9" t="s">
        <v>54</v>
      </c>
      <c r="K1" s="9" t="s">
        <v>55</v>
      </c>
      <c r="L1" s="9" t="s">
        <v>56</v>
      </c>
      <c r="M1" s="9" t="s">
        <v>57</v>
      </c>
      <c r="N1" s="9" t="s">
        <v>58</v>
      </c>
    </row>
    <row r="2" customFormat="false" ht="30" hidden="false" customHeight="true" outlineLevel="0" collapsed="false">
      <c r="A2" s="10" t="n">
        <v>1</v>
      </c>
      <c r="B2" s="10" t="s">
        <v>24</v>
      </c>
      <c r="C2" s="10" t="s">
        <v>59</v>
      </c>
      <c r="D2" s="10" t="s">
        <v>60</v>
      </c>
      <c r="E2" s="10" t="s">
        <v>61</v>
      </c>
      <c r="F2" s="10" t="s">
        <v>62</v>
      </c>
      <c r="G2" s="12" t="n">
        <v>4.7</v>
      </c>
      <c r="H2" s="10" t="n">
        <v>512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</row>
    <row r="3" customFormat="false" ht="30" hidden="false" customHeight="true" outlineLevel="0" collapsed="false">
      <c r="A3" s="11" t="n">
        <v>2</v>
      </c>
      <c r="B3" s="11" t="s">
        <v>24</v>
      </c>
      <c r="C3" s="11" t="s">
        <v>69</v>
      </c>
      <c r="D3" s="11" t="s">
        <v>70</v>
      </c>
      <c r="E3" s="11" t="s">
        <v>71</v>
      </c>
      <c r="F3" s="11" t="s">
        <v>62</v>
      </c>
      <c r="G3" s="13" t="n">
        <v>4.5</v>
      </c>
      <c r="H3" s="11" t="n">
        <v>674</v>
      </c>
      <c r="I3" s="11" t="s">
        <v>63</v>
      </c>
      <c r="J3" s="11" t="s">
        <v>64</v>
      </c>
      <c r="K3" s="11" t="s">
        <v>65</v>
      </c>
      <c r="L3" s="11" t="s">
        <v>72</v>
      </c>
      <c r="M3" s="11" t="s">
        <v>73</v>
      </c>
      <c r="N3" s="11" t="s">
        <v>68</v>
      </c>
    </row>
    <row r="4" customFormat="false" ht="30" hidden="false" customHeight="true" outlineLevel="0" collapsed="false">
      <c r="A4" s="10" t="n">
        <v>3</v>
      </c>
      <c r="B4" s="10" t="s">
        <v>24</v>
      </c>
      <c r="C4" s="10" t="s">
        <v>74</v>
      </c>
      <c r="D4" s="10" t="s">
        <v>75</v>
      </c>
      <c r="E4" s="10" t="s">
        <v>61</v>
      </c>
      <c r="F4" s="10" t="s">
        <v>62</v>
      </c>
      <c r="G4" s="12" t="n">
        <v>4</v>
      </c>
      <c r="H4" s="10" t="n">
        <v>240</v>
      </c>
      <c r="I4" s="10" t="s">
        <v>63</v>
      </c>
      <c r="J4" s="10" t="s">
        <v>64</v>
      </c>
      <c r="K4" s="10" t="s">
        <v>65</v>
      </c>
      <c r="L4" s="10" t="s">
        <v>76</v>
      </c>
      <c r="M4" s="10" t="s">
        <v>77</v>
      </c>
      <c r="N4" s="10" t="s">
        <v>68</v>
      </c>
    </row>
    <row r="5" customFormat="false" ht="30" hidden="false" customHeight="true" outlineLevel="0" collapsed="false">
      <c r="A5" s="11" t="n">
        <v>4</v>
      </c>
      <c r="B5" s="11" t="s">
        <v>24</v>
      </c>
      <c r="C5" s="11" t="s">
        <v>78</v>
      </c>
      <c r="D5" s="11" t="s">
        <v>79</v>
      </c>
      <c r="E5" s="11" t="s">
        <v>61</v>
      </c>
      <c r="F5" s="11" t="s">
        <v>62</v>
      </c>
      <c r="G5" s="13" t="n">
        <v>4.2</v>
      </c>
      <c r="H5" s="11" t="n">
        <v>41</v>
      </c>
      <c r="I5" s="11" t="s">
        <v>63</v>
      </c>
      <c r="J5" s="11" t="s">
        <v>64</v>
      </c>
      <c r="K5" s="11" t="s">
        <v>65</v>
      </c>
      <c r="L5" s="11" t="s">
        <v>80</v>
      </c>
      <c r="M5" s="11" t="s">
        <v>81</v>
      </c>
      <c r="N5" s="11" t="s">
        <v>68</v>
      </c>
    </row>
    <row r="6" customFormat="false" ht="30" hidden="false" customHeight="true" outlineLevel="0" collapsed="false">
      <c r="A6" s="10" t="n">
        <v>5</v>
      </c>
      <c r="B6" s="10" t="s">
        <v>24</v>
      </c>
      <c r="C6" s="10" t="s">
        <v>69</v>
      </c>
      <c r="D6" s="10" t="s">
        <v>82</v>
      </c>
      <c r="E6" s="10" t="s">
        <v>83</v>
      </c>
      <c r="F6" s="10" t="s">
        <v>62</v>
      </c>
      <c r="G6" s="12" t="n">
        <v>4.8</v>
      </c>
      <c r="H6" s="10" t="n">
        <v>30</v>
      </c>
      <c r="I6" s="10" t="s">
        <v>63</v>
      </c>
      <c r="J6" s="10" t="s">
        <v>64</v>
      </c>
      <c r="K6" s="10" t="s">
        <v>84</v>
      </c>
      <c r="L6" s="10" t="s">
        <v>85</v>
      </c>
      <c r="M6" s="10" t="s">
        <v>86</v>
      </c>
      <c r="N6" s="10" t="s">
        <v>68</v>
      </c>
    </row>
    <row r="7" customFormat="false" ht="30" hidden="false" customHeight="true" outlineLevel="0" collapsed="false">
      <c r="A7" s="11" t="n">
        <v>6</v>
      </c>
      <c r="B7" s="11" t="s">
        <v>24</v>
      </c>
      <c r="C7" s="11" t="s">
        <v>87</v>
      </c>
      <c r="D7" s="11" t="s">
        <v>88</v>
      </c>
      <c r="E7" s="11" t="s">
        <v>89</v>
      </c>
      <c r="F7" s="11" t="s">
        <v>62</v>
      </c>
      <c r="G7" s="13" t="n">
        <v>4.3</v>
      </c>
      <c r="H7" s="11" t="n">
        <v>291</v>
      </c>
      <c r="I7" s="11" t="s">
        <v>63</v>
      </c>
      <c r="J7" s="11" t="s">
        <v>64</v>
      </c>
      <c r="K7" s="11" t="s">
        <v>65</v>
      </c>
      <c r="L7" s="11" t="s">
        <v>90</v>
      </c>
      <c r="M7" s="11" t="s">
        <v>91</v>
      </c>
      <c r="N7" s="11" t="s">
        <v>68</v>
      </c>
    </row>
    <row r="8" customFormat="false" ht="30" hidden="false" customHeight="true" outlineLevel="0" collapsed="false">
      <c r="A8" s="10" t="n">
        <v>7</v>
      </c>
      <c r="B8" s="10" t="s">
        <v>24</v>
      </c>
      <c r="C8" s="10" t="s">
        <v>69</v>
      </c>
      <c r="D8" s="10" t="s">
        <v>92</v>
      </c>
      <c r="E8" s="10" t="s">
        <v>93</v>
      </c>
      <c r="F8" s="10" t="s">
        <v>62</v>
      </c>
      <c r="G8" s="12" t="n">
        <v>4.7</v>
      </c>
      <c r="H8" s="10" t="n">
        <v>202</v>
      </c>
      <c r="I8" s="10" t="s">
        <v>63</v>
      </c>
      <c r="J8" s="10" t="s">
        <v>64</v>
      </c>
      <c r="K8" s="10" t="s">
        <v>65</v>
      </c>
      <c r="L8" s="10" t="s">
        <v>94</v>
      </c>
      <c r="M8" s="10" t="s">
        <v>95</v>
      </c>
      <c r="N8" s="10" t="s">
        <v>68</v>
      </c>
    </row>
    <row r="9" customFormat="false" ht="30" hidden="false" customHeight="true" outlineLevel="0" collapsed="false">
      <c r="A9" s="11" t="n">
        <v>8</v>
      </c>
      <c r="B9" s="11" t="s">
        <v>24</v>
      </c>
      <c r="C9" s="11" t="s">
        <v>78</v>
      </c>
      <c r="D9" s="11" t="s">
        <v>96</v>
      </c>
      <c r="E9" s="11" t="s">
        <v>61</v>
      </c>
      <c r="F9" s="11" t="s">
        <v>62</v>
      </c>
      <c r="G9" s="13" t="n">
        <v>4.1</v>
      </c>
      <c r="H9" s="11" t="n">
        <v>78</v>
      </c>
      <c r="I9" s="11" t="s">
        <v>63</v>
      </c>
      <c r="J9" s="11" t="s">
        <v>64</v>
      </c>
      <c r="K9" s="11" t="s">
        <v>65</v>
      </c>
      <c r="L9" s="11" t="s">
        <v>97</v>
      </c>
      <c r="M9" s="11" t="s">
        <v>98</v>
      </c>
      <c r="N9" s="11" t="s">
        <v>68</v>
      </c>
    </row>
    <row r="10" customFormat="false" ht="30" hidden="false" customHeight="true" outlineLevel="0" collapsed="false">
      <c r="A10" s="10" t="n">
        <v>9</v>
      </c>
      <c r="B10" s="10" t="s">
        <v>24</v>
      </c>
      <c r="C10" s="10" t="s">
        <v>99</v>
      </c>
      <c r="D10" s="10" t="s">
        <v>100</v>
      </c>
      <c r="E10" s="10" t="s">
        <v>71</v>
      </c>
      <c r="F10" s="10" t="s">
        <v>62</v>
      </c>
      <c r="G10" s="12" t="n">
        <v>4.9</v>
      </c>
      <c r="H10" s="10" t="n">
        <v>74</v>
      </c>
      <c r="I10" s="10" t="s">
        <v>63</v>
      </c>
      <c r="J10" s="10" t="s">
        <v>64</v>
      </c>
      <c r="K10" s="10" t="s">
        <v>65</v>
      </c>
      <c r="L10" s="10" t="s">
        <v>101</v>
      </c>
      <c r="M10" s="10" t="s">
        <v>102</v>
      </c>
      <c r="N10" s="10" t="s">
        <v>68</v>
      </c>
    </row>
    <row r="11" customFormat="false" ht="30" hidden="false" customHeight="true" outlineLevel="0" collapsed="false">
      <c r="A11" s="11" t="n">
        <v>10</v>
      </c>
      <c r="B11" s="11" t="s">
        <v>24</v>
      </c>
      <c r="C11" s="11" t="s">
        <v>74</v>
      </c>
      <c r="D11" s="11" t="s">
        <v>103</v>
      </c>
      <c r="E11" s="11" t="s">
        <v>61</v>
      </c>
      <c r="F11" s="11" t="s">
        <v>62</v>
      </c>
      <c r="G11" s="13" t="n">
        <v>3.9</v>
      </c>
      <c r="H11" s="11" t="n">
        <v>256</v>
      </c>
      <c r="I11" s="11" t="s">
        <v>63</v>
      </c>
      <c r="J11" s="11" t="s">
        <v>64</v>
      </c>
      <c r="K11" s="11" t="s">
        <v>65</v>
      </c>
      <c r="L11" s="11" t="s">
        <v>104</v>
      </c>
      <c r="M11" s="11" t="s">
        <v>105</v>
      </c>
      <c r="N11" s="11" t="s">
        <v>68</v>
      </c>
    </row>
    <row r="12" customFormat="false" ht="30" hidden="false" customHeight="true" outlineLevel="0" collapsed="false">
      <c r="A12" s="10" t="n">
        <v>11</v>
      </c>
      <c r="B12" s="10" t="s">
        <v>24</v>
      </c>
      <c r="C12" s="10" t="s">
        <v>69</v>
      </c>
      <c r="D12" s="10" t="s">
        <v>106</v>
      </c>
      <c r="E12" s="10" t="s">
        <v>107</v>
      </c>
      <c r="F12" s="10" t="s">
        <v>62</v>
      </c>
      <c r="G12" s="12" t="n">
        <v>4.5</v>
      </c>
      <c r="H12" s="10"/>
      <c r="I12" s="10" t="s">
        <v>63</v>
      </c>
      <c r="J12" s="10" t="s">
        <v>64</v>
      </c>
      <c r="K12" s="10" t="s">
        <v>65</v>
      </c>
      <c r="L12" s="10" t="s">
        <v>108</v>
      </c>
      <c r="M12" s="10" t="s">
        <v>109</v>
      </c>
      <c r="N12" s="10" t="s">
        <v>68</v>
      </c>
    </row>
    <row r="13" customFormat="false" ht="30" hidden="false" customHeight="true" outlineLevel="0" collapsed="false">
      <c r="A13" s="11" t="n">
        <v>12</v>
      </c>
      <c r="B13" s="11" t="s">
        <v>24</v>
      </c>
      <c r="C13" s="11" t="s">
        <v>69</v>
      </c>
      <c r="D13" s="11" t="s">
        <v>110</v>
      </c>
      <c r="E13" s="11" t="s">
        <v>111</v>
      </c>
      <c r="F13" s="11" t="s">
        <v>62</v>
      </c>
      <c r="G13" s="13" t="n">
        <v>4.6</v>
      </c>
      <c r="H13" s="11"/>
      <c r="I13" s="11" t="s">
        <v>63</v>
      </c>
      <c r="J13" s="11" t="s">
        <v>64</v>
      </c>
      <c r="K13" s="11" t="s">
        <v>65</v>
      </c>
      <c r="L13" s="11" t="s">
        <v>112</v>
      </c>
      <c r="M13" s="11" t="s">
        <v>113</v>
      </c>
      <c r="N13" s="11" t="s">
        <v>68</v>
      </c>
    </row>
    <row r="14" customFormat="false" ht="30" hidden="false" customHeight="true" outlineLevel="0" collapsed="false">
      <c r="A14" s="10" t="n">
        <v>13</v>
      </c>
      <c r="B14" s="10" t="s">
        <v>24</v>
      </c>
      <c r="C14" s="10" t="s">
        <v>69</v>
      </c>
      <c r="D14" s="10" t="s">
        <v>114</v>
      </c>
      <c r="E14" s="10" t="s">
        <v>115</v>
      </c>
      <c r="F14" s="10" t="s">
        <v>62</v>
      </c>
      <c r="G14" s="12" t="n">
        <v>4.1</v>
      </c>
      <c r="H14" s="10"/>
      <c r="I14" s="10" t="s">
        <v>63</v>
      </c>
      <c r="J14" s="10" t="s">
        <v>64</v>
      </c>
      <c r="K14" s="10" t="s">
        <v>65</v>
      </c>
      <c r="L14" s="10" t="s">
        <v>116</v>
      </c>
      <c r="M14" s="10" t="s">
        <v>117</v>
      </c>
      <c r="N14" s="10" t="s">
        <v>68</v>
      </c>
    </row>
    <row r="15" customFormat="false" ht="30" hidden="false" customHeight="true" outlineLevel="0" collapsed="false">
      <c r="A15" s="11" t="n">
        <v>14</v>
      </c>
      <c r="B15" s="11" t="s">
        <v>24</v>
      </c>
      <c r="C15" s="11" t="s">
        <v>118</v>
      </c>
      <c r="D15" s="11" t="s">
        <v>119</v>
      </c>
      <c r="E15" s="11" t="s">
        <v>120</v>
      </c>
      <c r="F15" s="11" t="s">
        <v>62</v>
      </c>
      <c r="G15" s="13"/>
      <c r="H15" s="11"/>
      <c r="I15" s="11" t="s">
        <v>121</v>
      </c>
      <c r="J15" s="11" t="s">
        <v>122</v>
      </c>
      <c r="K15" s="11" t="s">
        <v>123</v>
      </c>
      <c r="L15" s="11" t="s">
        <v>124</v>
      </c>
      <c r="M15" s="11" t="s">
        <v>125</v>
      </c>
      <c r="N15" s="11" t="s">
        <v>68</v>
      </c>
    </row>
    <row r="16" customFormat="false" ht="30" hidden="false" customHeight="true" outlineLevel="0" collapsed="false">
      <c r="A16" s="10" t="n">
        <v>15</v>
      </c>
      <c r="B16" s="10" t="s">
        <v>24</v>
      </c>
      <c r="C16" s="10" t="s">
        <v>126</v>
      </c>
      <c r="D16" s="10" t="s">
        <v>127</v>
      </c>
      <c r="E16" s="10" t="s">
        <v>128</v>
      </c>
      <c r="F16" s="10" t="s">
        <v>62</v>
      </c>
      <c r="G16" s="12"/>
      <c r="H16" s="10"/>
      <c r="I16" s="10" t="s">
        <v>121</v>
      </c>
      <c r="J16" s="10" t="s">
        <v>122</v>
      </c>
      <c r="K16" s="10" t="s">
        <v>123</v>
      </c>
      <c r="L16" s="10" t="s">
        <v>129</v>
      </c>
      <c r="M16" s="10" t="s">
        <v>130</v>
      </c>
      <c r="N16" s="10" t="s">
        <v>68</v>
      </c>
    </row>
    <row r="17" customFormat="false" ht="30" hidden="false" customHeight="true" outlineLevel="0" collapsed="false">
      <c r="A17" s="11" t="n">
        <v>16</v>
      </c>
      <c r="B17" s="11" t="s">
        <v>24</v>
      </c>
      <c r="C17" s="11" t="s">
        <v>69</v>
      </c>
      <c r="D17" s="11" t="s">
        <v>131</v>
      </c>
      <c r="E17" s="11" t="s">
        <v>132</v>
      </c>
      <c r="F17" s="11" t="s">
        <v>62</v>
      </c>
      <c r="G17" s="13" t="n">
        <v>5</v>
      </c>
      <c r="H17" s="11" t="n">
        <v>3</v>
      </c>
      <c r="I17" s="11" t="s">
        <v>121</v>
      </c>
      <c r="J17" s="11" t="s">
        <v>64</v>
      </c>
      <c r="K17" s="11" t="s">
        <v>84</v>
      </c>
      <c r="L17" s="11" t="s">
        <v>133</v>
      </c>
      <c r="M17" s="11" t="s">
        <v>134</v>
      </c>
      <c r="N17" s="11" t="s">
        <v>68</v>
      </c>
    </row>
    <row r="18" customFormat="false" ht="30" hidden="false" customHeight="true" outlineLevel="0" collapsed="false">
      <c r="A18" s="10" t="n">
        <v>17</v>
      </c>
      <c r="B18" s="10" t="s">
        <v>24</v>
      </c>
      <c r="C18" s="10" t="s">
        <v>69</v>
      </c>
      <c r="D18" s="10" t="s">
        <v>135</v>
      </c>
      <c r="E18" s="10" t="s">
        <v>136</v>
      </c>
      <c r="F18" s="10" t="s">
        <v>62</v>
      </c>
      <c r="G18" s="12" t="n">
        <v>4.3</v>
      </c>
      <c r="H18" s="10" t="n">
        <v>3</v>
      </c>
      <c r="I18" s="10" t="s">
        <v>121</v>
      </c>
      <c r="J18" s="10" t="s">
        <v>64</v>
      </c>
      <c r="K18" s="10" t="s">
        <v>84</v>
      </c>
      <c r="L18" s="10" t="s">
        <v>137</v>
      </c>
      <c r="M18" s="10" t="s">
        <v>138</v>
      </c>
      <c r="N18" s="10" t="s">
        <v>68</v>
      </c>
    </row>
    <row r="19" customFormat="false" ht="30" hidden="false" customHeight="true" outlineLevel="0" collapsed="false">
      <c r="A19" s="11" t="n">
        <v>18</v>
      </c>
      <c r="B19" s="11" t="s">
        <v>24</v>
      </c>
      <c r="C19" s="11" t="s">
        <v>69</v>
      </c>
      <c r="D19" s="11" t="s">
        <v>139</v>
      </c>
      <c r="E19" s="11" t="s">
        <v>140</v>
      </c>
      <c r="F19" s="11" t="s">
        <v>62</v>
      </c>
      <c r="G19" s="13" t="n">
        <v>3</v>
      </c>
      <c r="H19" s="11" t="n">
        <v>1</v>
      </c>
      <c r="I19" s="11" t="s">
        <v>121</v>
      </c>
      <c r="J19" s="11" t="s">
        <v>64</v>
      </c>
      <c r="K19" s="11" t="s">
        <v>84</v>
      </c>
      <c r="L19" s="11" t="s">
        <v>141</v>
      </c>
      <c r="M19" s="11" t="s">
        <v>142</v>
      </c>
      <c r="N19" s="11" t="s">
        <v>68</v>
      </c>
    </row>
    <row r="20" customFormat="false" ht="30" hidden="false" customHeight="true" outlineLevel="0" collapsed="false">
      <c r="A20" s="10" t="n">
        <v>19</v>
      </c>
      <c r="B20" s="10" t="s">
        <v>24</v>
      </c>
      <c r="C20" s="10" t="s">
        <v>78</v>
      </c>
      <c r="D20" s="10" t="s">
        <v>143</v>
      </c>
      <c r="E20" s="10" t="s">
        <v>144</v>
      </c>
      <c r="F20" s="10" t="s">
        <v>62</v>
      </c>
      <c r="G20" s="12"/>
      <c r="H20" s="10"/>
      <c r="I20" s="10" t="s">
        <v>121</v>
      </c>
      <c r="J20" s="10" t="s">
        <v>145</v>
      </c>
      <c r="K20" s="10" t="s">
        <v>146</v>
      </c>
      <c r="L20" s="10" t="s">
        <v>147</v>
      </c>
      <c r="M20" s="10"/>
      <c r="N20" s="10" t="s">
        <v>68</v>
      </c>
    </row>
    <row r="21" customFormat="false" ht="30" hidden="false" customHeight="true" outlineLevel="0" collapsed="false">
      <c r="A21" s="11" t="n">
        <v>20</v>
      </c>
      <c r="B21" s="11" t="s">
        <v>24</v>
      </c>
      <c r="C21" s="11" t="s">
        <v>69</v>
      </c>
      <c r="D21" s="11" t="s">
        <v>148</v>
      </c>
      <c r="E21" s="11" t="s">
        <v>144</v>
      </c>
      <c r="F21" s="11" t="s">
        <v>62</v>
      </c>
      <c r="G21" s="13"/>
      <c r="H21" s="11"/>
      <c r="I21" s="11" t="s">
        <v>121</v>
      </c>
      <c r="J21" s="11" t="s">
        <v>145</v>
      </c>
      <c r="K21" s="11" t="s">
        <v>146</v>
      </c>
      <c r="L21" s="11" t="s">
        <v>149</v>
      </c>
      <c r="M21" s="11"/>
      <c r="N21" s="11" t="s">
        <v>68</v>
      </c>
    </row>
    <row r="22" customFormat="false" ht="30" hidden="false" customHeight="true" outlineLevel="0" collapsed="false">
      <c r="A22" s="10" t="n">
        <v>21</v>
      </c>
      <c r="B22" s="10" t="s">
        <v>24</v>
      </c>
      <c r="C22" s="10" t="s">
        <v>69</v>
      </c>
      <c r="D22" s="10" t="s">
        <v>150</v>
      </c>
      <c r="E22" s="10" t="s">
        <v>151</v>
      </c>
      <c r="F22" s="10" t="s">
        <v>62</v>
      </c>
      <c r="G22" s="12"/>
      <c r="H22" s="10"/>
      <c r="I22" s="10" t="s">
        <v>121</v>
      </c>
      <c r="J22" s="10" t="s">
        <v>145</v>
      </c>
      <c r="K22" s="10" t="s">
        <v>146</v>
      </c>
      <c r="L22" s="10" t="s">
        <v>152</v>
      </c>
      <c r="M22" s="10" t="s">
        <v>153</v>
      </c>
      <c r="N22" s="10" t="s">
        <v>68</v>
      </c>
    </row>
    <row r="23" customFormat="false" ht="30" hidden="false" customHeight="true" outlineLevel="0" collapsed="false">
      <c r="A23" s="11" t="n">
        <v>22</v>
      </c>
      <c r="B23" s="11" t="s">
        <v>24</v>
      </c>
      <c r="C23" s="11" t="s">
        <v>69</v>
      </c>
      <c r="D23" s="11" t="s">
        <v>154</v>
      </c>
      <c r="E23" s="11" t="s">
        <v>155</v>
      </c>
      <c r="F23" s="11" t="s">
        <v>62</v>
      </c>
      <c r="G23" s="13"/>
      <c r="H23" s="11"/>
      <c r="I23" s="11" t="s">
        <v>121</v>
      </c>
      <c r="J23" s="11" t="s">
        <v>145</v>
      </c>
      <c r="K23" s="11" t="s">
        <v>146</v>
      </c>
      <c r="L23" s="11" t="s">
        <v>156</v>
      </c>
      <c r="M23" s="11" t="s">
        <v>157</v>
      </c>
      <c r="N23" s="11" t="s">
        <v>68</v>
      </c>
    </row>
    <row r="24" customFormat="false" ht="30" hidden="false" customHeight="true" outlineLevel="0" collapsed="false">
      <c r="A24" s="10" t="n">
        <v>23</v>
      </c>
      <c r="B24" s="10" t="s">
        <v>24</v>
      </c>
      <c r="C24" s="10" t="s">
        <v>69</v>
      </c>
      <c r="D24" s="10" t="s">
        <v>158</v>
      </c>
      <c r="E24" s="10" t="s">
        <v>159</v>
      </c>
      <c r="F24" s="10" t="s">
        <v>62</v>
      </c>
      <c r="G24" s="12"/>
      <c r="H24" s="10"/>
      <c r="I24" s="10" t="s">
        <v>63</v>
      </c>
      <c r="J24" s="10" t="s">
        <v>145</v>
      </c>
      <c r="K24" s="10" t="s">
        <v>146</v>
      </c>
      <c r="L24" s="10" t="s">
        <v>160</v>
      </c>
      <c r="M24" s="10"/>
      <c r="N24" s="10" t="s">
        <v>68</v>
      </c>
    </row>
    <row r="25" customFormat="false" ht="30" hidden="false" customHeight="true" outlineLevel="0" collapsed="false">
      <c r="A25" s="11" t="n">
        <v>24</v>
      </c>
      <c r="B25" s="11" t="s">
        <v>24</v>
      </c>
      <c r="C25" s="11" t="s">
        <v>69</v>
      </c>
      <c r="D25" s="11" t="s">
        <v>161</v>
      </c>
      <c r="E25" s="11" t="s">
        <v>61</v>
      </c>
      <c r="F25" s="11" t="s">
        <v>62</v>
      </c>
      <c r="G25" s="13"/>
      <c r="H25" s="11"/>
      <c r="I25" s="11" t="s">
        <v>121</v>
      </c>
      <c r="J25" s="11" t="s">
        <v>145</v>
      </c>
      <c r="K25" s="11" t="s">
        <v>146</v>
      </c>
      <c r="L25" s="11" t="s">
        <v>162</v>
      </c>
      <c r="M25" s="11"/>
      <c r="N25" s="11" t="s">
        <v>68</v>
      </c>
    </row>
    <row r="26" customFormat="false" ht="30" hidden="false" customHeight="true" outlineLevel="0" collapsed="false">
      <c r="A26" s="10" t="n">
        <v>25</v>
      </c>
      <c r="B26" s="10" t="s">
        <v>24</v>
      </c>
      <c r="C26" s="10" t="s">
        <v>69</v>
      </c>
      <c r="D26" s="10" t="s">
        <v>163</v>
      </c>
      <c r="E26" s="10" t="s">
        <v>144</v>
      </c>
      <c r="F26" s="10" t="s">
        <v>62</v>
      </c>
      <c r="G26" s="12"/>
      <c r="H26" s="10"/>
      <c r="I26" s="10" t="s">
        <v>121</v>
      </c>
      <c r="J26" s="10" t="s">
        <v>145</v>
      </c>
      <c r="K26" s="10" t="s">
        <v>146</v>
      </c>
      <c r="L26" s="10" t="s">
        <v>164</v>
      </c>
      <c r="M26" s="10"/>
      <c r="N26" s="10" t="s">
        <v>68</v>
      </c>
    </row>
    <row r="27" customFormat="false" ht="30" hidden="false" customHeight="true" outlineLevel="0" collapsed="false">
      <c r="A27" s="11" t="n">
        <v>26</v>
      </c>
      <c r="B27" s="11" t="s">
        <v>24</v>
      </c>
      <c r="C27" s="11" t="s">
        <v>69</v>
      </c>
      <c r="D27" s="11" t="s">
        <v>165</v>
      </c>
      <c r="E27" s="11" t="s">
        <v>144</v>
      </c>
      <c r="F27" s="11" t="s">
        <v>62</v>
      </c>
      <c r="G27" s="13"/>
      <c r="H27" s="11"/>
      <c r="I27" s="11" t="s">
        <v>121</v>
      </c>
      <c r="J27" s="11" t="s">
        <v>145</v>
      </c>
      <c r="K27" s="11" t="s">
        <v>146</v>
      </c>
      <c r="L27" s="11" t="s">
        <v>166</v>
      </c>
      <c r="M27" s="11"/>
      <c r="N27" s="11" t="s">
        <v>68</v>
      </c>
    </row>
    <row r="28" customFormat="false" ht="30" hidden="false" customHeight="true" outlineLevel="0" collapsed="false">
      <c r="A28" s="10" t="n">
        <v>27</v>
      </c>
      <c r="B28" s="10" t="s">
        <v>24</v>
      </c>
      <c r="C28" s="10" t="s">
        <v>69</v>
      </c>
      <c r="D28" s="10" t="s">
        <v>167</v>
      </c>
      <c r="E28" s="10" t="s">
        <v>144</v>
      </c>
      <c r="F28" s="10" t="s">
        <v>62</v>
      </c>
      <c r="G28" s="12"/>
      <c r="H28" s="10"/>
      <c r="I28" s="10" t="s">
        <v>121</v>
      </c>
      <c r="J28" s="10" t="s">
        <v>145</v>
      </c>
      <c r="K28" s="10" t="s">
        <v>146</v>
      </c>
      <c r="L28" s="10" t="s">
        <v>168</v>
      </c>
      <c r="M28" s="10"/>
      <c r="N28" s="10" t="s">
        <v>68</v>
      </c>
    </row>
    <row r="29" customFormat="false" ht="30" hidden="false" customHeight="true" outlineLevel="0" collapsed="false">
      <c r="A29" s="11" t="n">
        <v>28</v>
      </c>
      <c r="B29" s="11" t="s">
        <v>24</v>
      </c>
      <c r="C29" s="11" t="s">
        <v>69</v>
      </c>
      <c r="D29" s="11" t="s">
        <v>169</v>
      </c>
      <c r="E29" s="11" t="s">
        <v>144</v>
      </c>
      <c r="F29" s="11" t="s">
        <v>62</v>
      </c>
      <c r="G29" s="13"/>
      <c r="H29" s="11"/>
      <c r="I29" s="11" t="s">
        <v>170</v>
      </c>
      <c r="J29" s="11" t="s">
        <v>145</v>
      </c>
      <c r="K29" s="11" t="s">
        <v>146</v>
      </c>
      <c r="L29" s="11" t="s">
        <v>171</v>
      </c>
      <c r="M29" s="11" t="s">
        <v>172</v>
      </c>
      <c r="N29" s="11" t="s">
        <v>68</v>
      </c>
    </row>
    <row r="30" customFormat="false" ht="30" hidden="false" customHeight="true" outlineLevel="0" collapsed="false">
      <c r="A30" s="10" t="n">
        <v>29</v>
      </c>
      <c r="B30" s="10" t="s">
        <v>24</v>
      </c>
      <c r="C30" s="10" t="s">
        <v>69</v>
      </c>
      <c r="D30" s="10" t="s">
        <v>173</v>
      </c>
      <c r="E30" s="10" t="s">
        <v>144</v>
      </c>
      <c r="F30" s="10" t="s">
        <v>62</v>
      </c>
      <c r="G30" s="12"/>
      <c r="H30" s="10"/>
      <c r="I30" s="10" t="s">
        <v>121</v>
      </c>
      <c r="J30" s="10" t="s">
        <v>145</v>
      </c>
      <c r="K30" s="10" t="s">
        <v>146</v>
      </c>
      <c r="L30" s="10" t="s">
        <v>174</v>
      </c>
      <c r="M30" s="10"/>
      <c r="N30" s="10" t="s">
        <v>68</v>
      </c>
    </row>
    <row r="31" customFormat="false" ht="30" hidden="false" customHeight="true" outlineLevel="0" collapsed="false">
      <c r="A31" s="11" t="n">
        <v>30</v>
      </c>
      <c r="B31" s="11" t="s">
        <v>24</v>
      </c>
      <c r="C31" s="11" t="s">
        <v>69</v>
      </c>
      <c r="D31" s="11" t="s">
        <v>175</v>
      </c>
      <c r="E31" s="11" t="s">
        <v>176</v>
      </c>
      <c r="F31" s="11" t="s">
        <v>62</v>
      </c>
      <c r="G31" s="13"/>
      <c r="H31" s="11"/>
      <c r="I31" s="11" t="s">
        <v>121</v>
      </c>
      <c r="J31" s="11" t="s">
        <v>145</v>
      </c>
      <c r="K31" s="11" t="s">
        <v>146</v>
      </c>
      <c r="L31" s="11" t="s">
        <v>177</v>
      </c>
      <c r="M31" s="11"/>
      <c r="N31" s="11" t="s">
        <v>68</v>
      </c>
    </row>
    <row r="32" customFormat="false" ht="30" hidden="false" customHeight="true" outlineLevel="0" collapsed="false">
      <c r="A32" s="10" t="n">
        <v>31</v>
      </c>
      <c r="B32" s="10" t="s">
        <v>24</v>
      </c>
      <c r="C32" s="10" t="s">
        <v>69</v>
      </c>
      <c r="D32" s="10" t="s">
        <v>178</v>
      </c>
      <c r="E32" s="10" t="s">
        <v>176</v>
      </c>
      <c r="F32" s="10" t="s">
        <v>62</v>
      </c>
      <c r="G32" s="12"/>
      <c r="H32" s="10"/>
      <c r="I32" s="10" t="s">
        <v>121</v>
      </c>
      <c r="J32" s="10" t="s">
        <v>145</v>
      </c>
      <c r="K32" s="10" t="s">
        <v>146</v>
      </c>
      <c r="L32" s="10" t="s">
        <v>179</v>
      </c>
      <c r="M32" s="10"/>
      <c r="N32" s="10" t="s">
        <v>68</v>
      </c>
    </row>
    <row r="33" customFormat="false" ht="30" hidden="false" customHeight="true" outlineLevel="0" collapsed="false">
      <c r="A33" s="11" t="n">
        <v>32</v>
      </c>
      <c r="B33" s="11" t="s">
        <v>24</v>
      </c>
      <c r="C33" s="11" t="s">
        <v>69</v>
      </c>
      <c r="D33" s="11" t="s">
        <v>180</v>
      </c>
      <c r="E33" s="11" t="s">
        <v>176</v>
      </c>
      <c r="F33" s="11" t="s">
        <v>62</v>
      </c>
      <c r="G33" s="13"/>
      <c r="H33" s="11"/>
      <c r="I33" s="11" t="s">
        <v>121</v>
      </c>
      <c r="J33" s="11" t="s">
        <v>145</v>
      </c>
      <c r="K33" s="11" t="s">
        <v>146</v>
      </c>
      <c r="L33" s="11" t="s">
        <v>181</v>
      </c>
      <c r="M33" s="11"/>
      <c r="N33" s="11" t="s">
        <v>68</v>
      </c>
    </row>
    <row r="34" customFormat="false" ht="30" hidden="false" customHeight="true" outlineLevel="0" collapsed="false">
      <c r="A34" s="10" t="n">
        <v>33</v>
      </c>
      <c r="B34" s="10" t="s">
        <v>24</v>
      </c>
      <c r="C34" s="10" t="s">
        <v>182</v>
      </c>
      <c r="D34" s="10" t="s">
        <v>183</v>
      </c>
      <c r="E34" s="10" t="s">
        <v>184</v>
      </c>
      <c r="F34" s="10" t="s">
        <v>62</v>
      </c>
      <c r="G34" s="12"/>
      <c r="H34" s="10"/>
      <c r="I34" s="10" t="s">
        <v>63</v>
      </c>
      <c r="J34" s="10" t="s">
        <v>145</v>
      </c>
      <c r="K34" s="10" t="s">
        <v>146</v>
      </c>
      <c r="L34" s="10" t="s">
        <v>185</v>
      </c>
      <c r="M34" s="10"/>
      <c r="N34" s="10" t="s">
        <v>68</v>
      </c>
    </row>
    <row r="35" customFormat="false" ht="30" hidden="false" customHeight="true" outlineLevel="0" collapsed="false">
      <c r="A35" s="11" t="n">
        <v>34</v>
      </c>
      <c r="B35" s="11" t="s">
        <v>24</v>
      </c>
      <c r="C35" s="11" t="s">
        <v>69</v>
      </c>
      <c r="D35" s="11" t="s">
        <v>186</v>
      </c>
      <c r="E35" s="11" t="s">
        <v>187</v>
      </c>
      <c r="F35" s="11" t="s">
        <v>62</v>
      </c>
      <c r="G35" s="13"/>
      <c r="H35" s="11"/>
      <c r="I35" s="11" t="s">
        <v>63</v>
      </c>
      <c r="J35" s="11" t="s">
        <v>145</v>
      </c>
      <c r="K35" s="11" t="s">
        <v>146</v>
      </c>
      <c r="L35" s="11" t="s">
        <v>188</v>
      </c>
      <c r="M35" s="11"/>
      <c r="N35" s="11" t="s">
        <v>68</v>
      </c>
    </row>
    <row r="36" customFormat="false" ht="30" hidden="false" customHeight="true" outlineLevel="0" collapsed="false">
      <c r="A36" s="10" t="n">
        <v>35</v>
      </c>
      <c r="B36" s="10" t="s">
        <v>24</v>
      </c>
      <c r="C36" s="10" t="s">
        <v>69</v>
      </c>
      <c r="D36" s="10" t="s">
        <v>189</v>
      </c>
      <c r="E36" s="10" t="s">
        <v>190</v>
      </c>
      <c r="F36" s="10" t="s">
        <v>62</v>
      </c>
      <c r="G36" s="12"/>
      <c r="H36" s="10"/>
      <c r="I36" s="10" t="s">
        <v>121</v>
      </c>
      <c r="J36" s="10" t="s">
        <v>145</v>
      </c>
      <c r="K36" s="10" t="s">
        <v>146</v>
      </c>
      <c r="L36" s="10" t="s">
        <v>191</v>
      </c>
      <c r="M36" s="10"/>
      <c r="N36" s="10" t="s">
        <v>68</v>
      </c>
    </row>
    <row r="37" customFormat="false" ht="30" hidden="false" customHeight="true" outlineLevel="0" collapsed="false">
      <c r="A37" s="11" t="n">
        <v>36</v>
      </c>
      <c r="B37" s="11" t="s">
        <v>24</v>
      </c>
      <c r="C37" s="11" t="s">
        <v>69</v>
      </c>
      <c r="D37" s="11" t="s">
        <v>192</v>
      </c>
      <c r="E37" s="11" t="s">
        <v>187</v>
      </c>
      <c r="F37" s="11" t="s">
        <v>62</v>
      </c>
      <c r="G37" s="13"/>
      <c r="H37" s="11"/>
      <c r="I37" s="11" t="s">
        <v>121</v>
      </c>
      <c r="J37" s="11" t="s">
        <v>145</v>
      </c>
      <c r="K37" s="11" t="s">
        <v>146</v>
      </c>
      <c r="L37" s="11" t="s">
        <v>193</v>
      </c>
      <c r="M37" s="11"/>
      <c r="N37" s="11" t="s">
        <v>68</v>
      </c>
    </row>
    <row r="38" customFormat="false" ht="30" hidden="false" customHeight="true" outlineLevel="0" collapsed="false">
      <c r="A38" s="10" t="n">
        <v>37</v>
      </c>
      <c r="B38" s="10" t="s">
        <v>24</v>
      </c>
      <c r="C38" s="10" t="s">
        <v>69</v>
      </c>
      <c r="D38" s="10" t="s">
        <v>194</v>
      </c>
      <c r="E38" s="10" t="s">
        <v>187</v>
      </c>
      <c r="F38" s="10" t="s">
        <v>62</v>
      </c>
      <c r="G38" s="12"/>
      <c r="H38" s="10"/>
      <c r="I38" s="10" t="s">
        <v>63</v>
      </c>
      <c r="J38" s="10" t="s">
        <v>145</v>
      </c>
      <c r="K38" s="10" t="s">
        <v>146</v>
      </c>
      <c r="L38" s="10" t="s">
        <v>195</v>
      </c>
      <c r="M38" s="10"/>
      <c r="N38" s="10" t="s">
        <v>68</v>
      </c>
    </row>
    <row r="39" customFormat="false" ht="30" hidden="false" customHeight="true" outlineLevel="0" collapsed="false">
      <c r="A39" s="11" t="n">
        <v>38</v>
      </c>
      <c r="B39" s="11" t="s">
        <v>24</v>
      </c>
      <c r="C39" s="11" t="s">
        <v>69</v>
      </c>
      <c r="D39" s="11" t="s">
        <v>196</v>
      </c>
      <c r="E39" s="11" t="s">
        <v>197</v>
      </c>
      <c r="F39" s="11" t="s">
        <v>62</v>
      </c>
      <c r="G39" s="13"/>
      <c r="H39" s="11"/>
      <c r="I39" s="11" t="s">
        <v>63</v>
      </c>
      <c r="J39" s="11" t="s">
        <v>145</v>
      </c>
      <c r="K39" s="11" t="s">
        <v>146</v>
      </c>
      <c r="L39" s="11" t="s">
        <v>198</v>
      </c>
      <c r="M39" s="11"/>
      <c r="N39" s="11" t="s">
        <v>68</v>
      </c>
    </row>
    <row r="40" customFormat="false" ht="30" hidden="false" customHeight="true" outlineLevel="0" collapsed="false">
      <c r="A40" s="10" t="n">
        <v>39</v>
      </c>
      <c r="B40" s="10" t="s">
        <v>24</v>
      </c>
      <c r="C40" s="10" t="s">
        <v>69</v>
      </c>
      <c r="D40" s="10" t="s">
        <v>199</v>
      </c>
      <c r="E40" s="10" t="s">
        <v>200</v>
      </c>
      <c r="F40" s="10" t="s">
        <v>62</v>
      </c>
      <c r="G40" s="12"/>
      <c r="H40" s="10"/>
      <c r="I40" s="10" t="s">
        <v>63</v>
      </c>
      <c r="J40" s="10" t="s">
        <v>145</v>
      </c>
      <c r="K40" s="10" t="s">
        <v>146</v>
      </c>
      <c r="L40" s="10" t="s">
        <v>201</v>
      </c>
      <c r="M40" s="10"/>
      <c r="N40" s="10" t="s">
        <v>68</v>
      </c>
    </row>
    <row r="41" customFormat="false" ht="30" hidden="false" customHeight="true" outlineLevel="0" collapsed="false">
      <c r="A41" s="11" t="n">
        <v>40</v>
      </c>
      <c r="B41" s="11" t="s">
        <v>24</v>
      </c>
      <c r="C41" s="11" t="s">
        <v>69</v>
      </c>
      <c r="D41" s="11" t="s">
        <v>202</v>
      </c>
      <c r="E41" s="11" t="s">
        <v>200</v>
      </c>
      <c r="F41" s="11" t="s">
        <v>62</v>
      </c>
      <c r="G41" s="13"/>
      <c r="H41" s="11"/>
      <c r="I41" s="11" t="s">
        <v>63</v>
      </c>
      <c r="J41" s="11" t="s">
        <v>145</v>
      </c>
      <c r="K41" s="11" t="s">
        <v>146</v>
      </c>
      <c r="L41" s="11" t="s">
        <v>203</v>
      </c>
      <c r="M41" s="11"/>
      <c r="N41" s="11" t="s">
        <v>68</v>
      </c>
    </row>
    <row r="42" customFormat="false" ht="30" hidden="false" customHeight="true" outlineLevel="0" collapsed="false">
      <c r="A42" s="10" t="n">
        <v>41</v>
      </c>
      <c r="B42" s="10" t="s">
        <v>24</v>
      </c>
      <c r="C42" s="10" t="s">
        <v>69</v>
      </c>
      <c r="D42" s="10" t="s">
        <v>204</v>
      </c>
      <c r="E42" s="10" t="s">
        <v>205</v>
      </c>
      <c r="F42" s="10" t="s">
        <v>62</v>
      </c>
      <c r="G42" s="12"/>
      <c r="H42" s="10"/>
      <c r="I42" s="10" t="s">
        <v>121</v>
      </c>
      <c r="J42" s="10" t="s">
        <v>145</v>
      </c>
      <c r="K42" s="10" t="s">
        <v>146</v>
      </c>
      <c r="L42" s="10" t="s">
        <v>206</v>
      </c>
      <c r="M42" s="10"/>
      <c r="N42" s="10" t="s">
        <v>68</v>
      </c>
    </row>
    <row r="43" customFormat="false" ht="30" hidden="false" customHeight="true" outlineLevel="0" collapsed="false">
      <c r="A43" s="11" t="n">
        <v>42</v>
      </c>
      <c r="B43" s="11" t="s">
        <v>24</v>
      </c>
      <c r="C43" s="11" t="s">
        <v>69</v>
      </c>
      <c r="D43" s="11" t="s">
        <v>207</v>
      </c>
      <c r="E43" s="11" t="s">
        <v>205</v>
      </c>
      <c r="F43" s="11" t="s">
        <v>62</v>
      </c>
      <c r="G43" s="13"/>
      <c r="H43" s="11"/>
      <c r="I43" s="11" t="s">
        <v>121</v>
      </c>
      <c r="J43" s="11" t="s">
        <v>145</v>
      </c>
      <c r="K43" s="11" t="s">
        <v>146</v>
      </c>
      <c r="L43" s="11" t="s">
        <v>208</v>
      </c>
      <c r="M43" s="11"/>
      <c r="N43" s="11" t="s">
        <v>68</v>
      </c>
    </row>
    <row r="44" customFormat="false" ht="30" hidden="false" customHeight="true" outlineLevel="0" collapsed="false">
      <c r="A44" s="10" t="n">
        <v>43</v>
      </c>
      <c r="B44" s="10" t="s">
        <v>24</v>
      </c>
      <c r="C44" s="10" t="s">
        <v>69</v>
      </c>
      <c r="D44" s="10" t="s">
        <v>209</v>
      </c>
      <c r="E44" s="10" t="s">
        <v>205</v>
      </c>
      <c r="F44" s="10" t="s">
        <v>62</v>
      </c>
      <c r="G44" s="12"/>
      <c r="H44" s="10"/>
      <c r="I44" s="10" t="s">
        <v>121</v>
      </c>
      <c r="J44" s="10" t="s">
        <v>145</v>
      </c>
      <c r="K44" s="10" t="s">
        <v>146</v>
      </c>
      <c r="L44" s="10" t="s">
        <v>210</v>
      </c>
      <c r="M44" s="10"/>
      <c r="N44" s="10" t="s">
        <v>68</v>
      </c>
    </row>
    <row r="45" customFormat="false" ht="30" hidden="false" customHeight="true" outlineLevel="0" collapsed="false">
      <c r="A45" s="11" t="n">
        <v>44</v>
      </c>
      <c r="B45" s="11" t="s">
        <v>24</v>
      </c>
      <c r="C45" s="11" t="s">
        <v>69</v>
      </c>
      <c r="D45" s="11" t="s">
        <v>211</v>
      </c>
      <c r="E45" s="11" t="s">
        <v>212</v>
      </c>
      <c r="F45" s="11" t="s">
        <v>62</v>
      </c>
      <c r="G45" s="13"/>
      <c r="H45" s="11"/>
      <c r="I45" s="11" t="s">
        <v>121</v>
      </c>
      <c r="J45" s="11" t="s">
        <v>145</v>
      </c>
      <c r="K45" s="11" t="s">
        <v>146</v>
      </c>
      <c r="L45" s="11" t="s">
        <v>213</v>
      </c>
      <c r="M45" s="11" t="s">
        <v>214</v>
      </c>
      <c r="N45" s="11" t="s">
        <v>68</v>
      </c>
    </row>
    <row r="46" customFormat="false" ht="30" hidden="false" customHeight="true" outlineLevel="0" collapsed="false">
      <c r="A46" s="10" t="n">
        <v>45</v>
      </c>
      <c r="B46" s="10" t="s">
        <v>24</v>
      </c>
      <c r="C46" s="10" t="s">
        <v>215</v>
      </c>
      <c r="D46" s="10" t="s">
        <v>216</v>
      </c>
      <c r="E46" s="10" t="s">
        <v>217</v>
      </c>
      <c r="F46" s="10" t="s">
        <v>62</v>
      </c>
      <c r="G46" s="12"/>
      <c r="H46" s="10"/>
      <c r="I46" s="10" t="s">
        <v>121</v>
      </c>
      <c r="J46" s="10" t="s">
        <v>145</v>
      </c>
      <c r="K46" s="10" t="s">
        <v>146</v>
      </c>
      <c r="L46" s="10" t="s">
        <v>218</v>
      </c>
      <c r="M46" s="10"/>
      <c r="N46" s="10" t="s">
        <v>68</v>
      </c>
    </row>
    <row r="47" customFormat="false" ht="30" hidden="false" customHeight="true" outlineLevel="0" collapsed="false">
      <c r="A47" s="11" t="n">
        <v>46</v>
      </c>
      <c r="B47" s="11" t="s">
        <v>24</v>
      </c>
      <c r="C47" s="11" t="s">
        <v>215</v>
      </c>
      <c r="D47" s="11" t="s">
        <v>219</v>
      </c>
      <c r="E47" s="11" t="s">
        <v>220</v>
      </c>
      <c r="F47" s="11" t="s">
        <v>62</v>
      </c>
      <c r="G47" s="13"/>
      <c r="H47" s="11"/>
      <c r="I47" s="11" t="s">
        <v>121</v>
      </c>
      <c r="J47" s="11" t="s">
        <v>145</v>
      </c>
      <c r="K47" s="11" t="s">
        <v>146</v>
      </c>
      <c r="L47" s="11" t="s">
        <v>221</v>
      </c>
      <c r="M47" s="11"/>
      <c r="N47" s="11" t="s">
        <v>68</v>
      </c>
    </row>
    <row r="48" customFormat="false" ht="30" hidden="false" customHeight="true" outlineLevel="0" collapsed="false">
      <c r="A48" s="10" t="n">
        <v>47</v>
      </c>
      <c r="B48" s="10" t="s">
        <v>24</v>
      </c>
      <c r="C48" s="10" t="s">
        <v>215</v>
      </c>
      <c r="D48" s="10" t="s">
        <v>222</v>
      </c>
      <c r="E48" s="10" t="s">
        <v>217</v>
      </c>
      <c r="F48" s="10" t="s">
        <v>62</v>
      </c>
      <c r="G48" s="12"/>
      <c r="H48" s="10"/>
      <c r="I48" s="10" t="s">
        <v>121</v>
      </c>
      <c r="J48" s="10" t="s">
        <v>145</v>
      </c>
      <c r="K48" s="10" t="s">
        <v>146</v>
      </c>
      <c r="L48" s="10" t="s">
        <v>223</v>
      </c>
      <c r="M48" s="10"/>
      <c r="N48" s="10" t="s">
        <v>68</v>
      </c>
    </row>
    <row r="49" customFormat="false" ht="30" hidden="false" customHeight="true" outlineLevel="0" collapsed="false">
      <c r="A49" s="11" t="n">
        <v>48</v>
      </c>
      <c r="B49" s="11" t="s">
        <v>24</v>
      </c>
      <c r="C49" s="11" t="s">
        <v>215</v>
      </c>
      <c r="D49" s="11" t="s">
        <v>224</v>
      </c>
      <c r="E49" s="11" t="s">
        <v>217</v>
      </c>
      <c r="F49" s="11" t="s">
        <v>62</v>
      </c>
      <c r="G49" s="13"/>
      <c r="H49" s="11"/>
      <c r="I49" s="11" t="s">
        <v>121</v>
      </c>
      <c r="J49" s="11" t="s">
        <v>145</v>
      </c>
      <c r="K49" s="11" t="s">
        <v>146</v>
      </c>
      <c r="L49" s="11" t="s">
        <v>225</v>
      </c>
      <c r="M49" s="11"/>
      <c r="N49" s="11" t="s">
        <v>68</v>
      </c>
    </row>
    <row r="50" customFormat="false" ht="30" hidden="false" customHeight="true" outlineLevel="0" collapsed="false">
      <c r="A50" s="10" t="n">
        <v>49</v>
      </c>
      <c r="B50" s="10" t="s">
        <v>24</v>
      </c>
      <c r="C50" s="10" t="s">
        <v>215</v>
      </c>
      <c r="D50" s="10" t="s">
        <v>226</v>
      </c>
      <c r="E50" s="10" t="s">
        <v>227</v>
      </c>
      <c r="F50" s="10" t="s">
        <v>62</v>
      </c>
      <c r="G50" s="12"/>
      <c r="H50" s="10"/>
      <c r="I50" s="10" t="s">
        <v>121</v>
      </c>
      <c r="J50" s="10" t="s">
        <v>145</v>
      </c>
      <c r="K50" s="10" t="s">
        <v>146</v>
      </c>
      <c r="L50" s="10" t="s">
        <v>228</v>
      </c>
      <c r="M50" s="10"/>
      <c r="N50" s="10" t="s">
        <v>68</v>
      </c>
    </row>
    <row r="51" customFormat="false" ht="30" hidden="false" customHeight="true" outlineLevel="0" collapsed="false">
      <c r="A51" s="11" t="n">
        <v>50</v>
      </c>
      <c r="B51" s="11" t="s">
        <v>24</v>
      </c>
      <c r="C51" s="11" t="s">
        <v>215</v>
      </c>
      <c r="D51" s="11" t="s">
        <v>229</v>
      </c>
      <c r="E51" s="11" t="s">
        <v>230</v>
      </c>
      <c r="F51" s="11" t="s">
        <v>62</v>
      </c>
      <c r="G51" s="13"/>
      <c r="H51" s="11"/>
      <c r="I51" s="11" t="s">
        <v>121</v>
      </c>
      <c r="J51" s="11" t="s">
        <v>145</v>
      </c>
      <c r="K51" s="11" t="s">
        <v>146</v>
      </c>
      <c r="L51" s="11" t="s">
        <v>231</v>
      </c>
      <c r="M51" s="11"/>
      <c r="N51" s="11" t="s">
        <v>68</v>
      </c>
    </row>
    <row r="52" customFormat="false" ht="30" hidden="false" customHeight="true" outlineLevel="0" collapsed="false">
      <c r="A52" s="10" t="n">
        <v>51</v>
      </c>
      <c r="B52" s="10" t="s">
        <v>24</v>
      </c>
      <c r="C52" s="10" t="s">
        <v>215</v>
      </c>
      <c r="D52" s="10" t="s">
        <v>232</v>
      </c>
      <c r="E52" s="10" t="s">
        <v>233</v>
      </c>
      <c r="F52" s="10" t="s">
        <v>62</v>
      </c>
      <c r="G52" s="12"/>
      <c r="H52" s="10"/>
      <c r="I52" s="10" t="s">
        <v>121</v>
      </c>
      <c r="J52" s="10" t="s">
        <v>145</v>
      </c>
      <c r="K52" s="10" t="s">
        <v>146</v>
      </c>
      <c r="L52" s="10" t="s">
        <v>234</v>
      </c>
      <c r="M52" s="10"/>
      <c r="N52" s="10" t="s">
        <v>68</v>
      </c>
    </row>
    <row r="53" customFormat="false" ht="30" hidden="false" customHeight="true" outlineLevel="0" collapsed="false">
      <c r="A53" s="11" t="n">
        <v>52</v>
      </c>
      <c r="B53" s="11" t="s">
        <v>24</v>
      </c>
      <c r="C53" s="11" t="s">
        <v>69</v>
      </c>
      <c r="D53" s="11" t="s">
        <v>235</v>
      </c>
      <c r="E53" s="11" t="s">
        <v>236</v>
      </c>
      <c r="F53" s="11" t="s">
        <v>62</v>
      </c>
      <c r="G53" s="13"/>
      <c r="H53" s="11"/>
      <c r="I53" s="11" t="s">
        <v>121</v>
      </c>
      <c r="J53" s="11" t="s">
        <v>145</v>
      </c>
      <c r="K53" s="11" t="s">
        <v>146</v>
      </c>
      <c r="L53" s="11" t="s">
        <v>237</v>
      </c>
      <c r="M53" s="11"/>
      <c r="N53" s="11" t="s">
        <v>68</v>
      </c>
    </row>
    <row r="54" customFormat="false" ht="30" hidden="false" customHeight="true" outlineLevel="0" collapsed="false">
      <c r="A54" s="10" t="n">
        <v>53</v>
      </c>
      <c r="B54" s="10" t="s">
        <v>24</v>
      </c>
      <c r="C54" s="10" t="s">
        <v>69</v>
      </c>
      <c r="D54" s="10" t="s">
        <v>238</v>
      </c>
      <c r="E54" s="10" t="s">
        <v>217</v>
      </c>
      <c r="F54" s="10" t="s">
        <v>62</v>
      </c>
      <c r="G54" s="12"/>
      <c r="H54" s="10"/>
      <c r="I54" s="10" t="s">
        <v>121</v>
      </c>
      <c r="J54" s="10" t="s">
        <v>145</v>
      </c>
      <c r="K54" s="10" t="s">
        <v>146</v>
      </c>
      <c r="L54" s="10" t="s">
        <v>239</v>
      </c>
      <c r="M54" s="10"/>
      <c r="N54" s="10" t="s">
        <v>68</v>
      </c>
    </row>
    <row r="55" customFormat="false" ht="30" hidden="false" customHeight="true" outlineLevel="0" collapsed="false">
      <c r="A55" s="11" t="n">
        <v>54</v>
      </c>
      <c r="B55" s="11" t="s">
        <v>24</v>
      </c>
      <c r="C55" s="11" t="s">
        <v>69</v>
      </c>
      <c r="D55" s="11" t="s">
        <v>240</v>
      </c>
      <c r="E55" s="11" t="s">
        <v>217</v>
      </c>
      <c r="F55" s="11" t="s">
        <v>62</v>
      </c>
      <c r="G55" s="13"/>
      <c r="H55" s="11"/>
      <c r="I55" s="11" t="s">
        <v>170</v>
      </c>
      <c r="J55" s="11" t="s">
        <v>145</v>
      </c>
      <c r="K55" s="11" t="s">
        <v>146</v>
      </c>
      <c r="L55" s="11" t="s">
        <v>241</v>
      </c>
      <c r="M55" s="11"/>
      <c r="N55" s="11" t="s">
        <v>68</v>
      </c>
    </row>
    <row r="56" customFormat="false" ht="30" hidden="false" customHeight="true" outlineLevel="0" collapsed="false">
      <c r="A56" s="10" t="n">
        <v>55</v>
      </c>
      <c r="B56" s="10" t="s">
        <v>24</v>
      </c>
      <c r="C56" s="10" t="s">
        <v>69</v>
      </c>
      <c r="D56" s="10" t="s">
        <v>242</v>
      </c>
      <c r="E56" s="10" t="s">
        <v>217</v>
      </c>
      <c r="F56" s="10" t="s">
        <v>62</v>
      </c>
      <c r="G56" s="12"/>
      <c r="H56" s="10"/>
      <c r="I56" s="10" t="s">
        <v>170</v>
      </c>
      <c r="J56" s="10" t="s">
        <v>145</v>
      </c>
      <c r="K56" s="10" t="s">
        <v>146</v>
      </c>
      <c r="L56" s="10" t="s">
        <v>243</v>
      </c>
      <c r="M56" s="10"/>
      <c r="N56" s="10" t="s">
        <v>68</v>
      </c>
    </row>
    <row r="57" customFormat="false" ht="30" hidden="false" customHeight="true" outlineLevel="0" collapsed="false">
      <c r="A57" s="11" t="n">
        <v>56</v>
      </c>
      <c r="B57" s="11" t="s">
        <v>24</v>
      </c>
      <c r="C57" s="11" t="s">
        <v>69</v>
      </c>
      <c r="D57" s="11" t="s">
        <v>244</v>
      </c>
      <c r="E57" s="11" t="s">
        <v>217</v>
      </c>
      <c r="F57" s="11" t="s">
        <v>62</v>
      </c>
      <c r="G57" s="13"/>
      <c r="H57" s="11"/>
      <c r="I57" s="11" t="s">
        <v>170</v>
      </c>
      <c r="J57" s="11" t="s">
        <v>145</v>
      </c>
      <c r="K57" s="11" t="s">
        <v>146</v>
      </c>
      <c r="L57" s="11" t="s">
        <v>245</v>
      </c>
      <c r="M57" s="11"/>
      <c r="N57" s="11" t="s">
        <v>68</v>
      </c>
    </row>
    <row r="58" customFormat="false" ht="30" hidden="false" customHeight="true" outlineLevel="0" collapsed="false">
      <c r="A58" s="10" t="n">
        <v>57</v>
      </c>
      <c r="B58" s="10" t="s">
        <v>24</v>
      </c>
      <c r="C58" s="10" t="s">
        <v>69</v>
      </c>
      <c r="D58" s="10" t="s">
        <v>246</v>
      </c>
      <c r="E58" s="10" t="s">
        <v>233</v>
      </c>
      <c r="F58" s="10" t="s">
        <v>62</v>
      </c>
      <c r="G58" s="12"/>
      <c r="H58" s="10"/>
      <c r="I58" s="10" t="s">
        <v>121</v>
      </c>
      <c r="J58" s="10" t="s">
        <v>145</v>
      </c>
      <c r="K58" s="10" t="s">
        <v>146</v>
      </c>
      <c r="L58" s="10" t="s">
        <v>247</v>
      </c>
      <c r="M58" s="10"/>
      <c r="N58" s="10" t="s">
        <v>68</v>
      </c>
    </row>
    <row r="59" customFormat="false" ht="30" hidden="false" customHeight="true" outlineLevel="0" collapsed="false">
      <c r="A59" s="11" t="n">
        <v>58</v>
      </c>
      <c r="B59" s="11" t="s">
        <v>24</v>
      </c>
      <c r="C59" s="11" t="s">
        <v>69</v>
      </c>
      <c r="D59" s="11" t="s">
        <v>248</v>
      </c>
      <c r="E59" s="11" t="s">
        <v>249</v>
      </c>
      <c r="F59" s="11" t="s">
        <v>62</v>
      </c>
      <c r="G59" s="13"/>
      <c r="H59" s="11"/>
      <c r="I59" s="11" t="s">
        <v>121</v>
      </c>
      <c r="J59" s="11" t="s">
        <v>145</v>
      </c>
      <c r="K59" s="11" t="s">
        <v>146</v>
      </c>
      <c r="L59" s="11" t="s">
        <v>250</v>
      </c>
      <c r="M59" s="11"/>
      <c r="N59" s="11" t="s">
        <v>68</v>
      </c>
    </row>
    <row r="60" customFormat="false" ht="30" hidden="false" customHeight="true" outlineLevel="0" collapsed="false">
      <c r="A60" s="10" t="n">
        <v>59</v>
      </c>
      <c r="B60" s="10" t="s">
        <v>24</v>
      </c>
      <c r="C60" s="10" t="s">
        <v>69</v>
      </c>
      <c r="D60" s="10" t="s">
        <v>251</v>
      </c>
      <c r="E60" s="10" t="s">
        <v>252</v>
      </c>
      <c r="F60" s="10" t="s">
        <v>62</v>
      </c>
      <c r="G60" s="12"/>
      <c r="H60" s="10"/>
      <c r="I60" s="10" t="s">
        <v>121</v>
      </c>
      <c r="J60" s="10" t="s">
        <v>145</v>
      </c>
      <c r="K60" s="10" t="s">
        <v>146</v>
      </c>
      <c r="L60" s="10" t="s">
        <v>253</v>
      </c>
      <c r="M60" s="10"/>
      <c r="N60" s="10" t="s">
        <v>68</v>
      </c>
    </row>
    <row r="61" customFormat="false" ht="30" hidden="false" customHeight="true" outlineLevel="0" collapsed="false">
      <c r="A61" s="11" t="n">
        <v>60</v>
      </c>
      <c r="B61" s="11" t="s">
        <v>24</v>
      </c>
      <c r="C61" s="11" t="s">
        <v>69</v>
      </c>
      <c r="D61" s="11" t="s">
        <v>254</v>
      </c>
      <c r="E61" s="11" t="s">
        <v>249</v>
      </c>
      <c r="F61" s="11" t="s">
        <v>62</v>
      </c>
      <c r="G61" s="13"/>
      <c r="H61" s="11"/>
      <c r="I61" s="11" t="s">
        <v>121</v>
      </c>
      <c r="J61" s="11" t="s">
        <v>145</v>
      </c>
      <c r="K61" s="11" t="s">
        <v>146</v>
      </c>
      <c r="L61" s="11" t="s">
        <v>255</v>
      </c>
      <c r="M61" s="11"/>
      <c r="N61" s="11" t="s">
        <v>68</v>
      </c>
    </row>
    <row r="62" customFormat="false" ht="30" hidden="false" customHeight="true" outlineLevel="0" collapsed="false">
      <c r="A62" s="10" t="n">
        <v>61</v>
      </c>
      <c r="B62" s="10" t="s">
        <v>24</v>
      </c>
      <c r="C62" s="10" t="s">
        <v>69</v>
      </c>
      <c r="D62" s="10" t="s">
        <v>256</v>
      </c>
      <c r="E62" s="10" t="s">
        <v>249</v>
      </c>
      <c r="F62" s="10" t="s">
        <v>62</v>
      </c>
      <c r="G62" s="12"/>
      <c r="H62" s="10"/>
      <c r="I62" s="10" t="s">
        <v>121</v>
      </c>
      <c r="J62" s="10" t="s">
        <v>145</v>
      </c>
      <c r="K62" s="10" t="s">
        <v>146</v>
      </c>
      <c r="L62" s="10" t="s">
        <v>257</v>
      </c>
      <c r="M62" s="10"/>
      <c r="N62" s="10" t="s">
        <v>68</v>
      </c>
    </row>
    <row r="63" customFormat="false" ht="30" hidden="false" customHeight="true" outlineLevel="0" collapsed="false">
      <c r="A63" s="11" t="n">
        <v>62</v>
      </c>
      <c r="B63" s="11" t="s">
        <v>24</v>
      </c>
      <c r="C63" s="11" t="s">
        <v>69</v>
      </c>
      <c r="D63" s="11" t="s">
        <v>258</v>
      </c>
      <c r="E63" s="11" t="s">
        <v>259</v>
      </c>
      <c r="F63" s="11" t="s">
        <v>62</v>
      </c>
      <c r="G63" s="13"/>
      <c r="H63" s="11"/>
      <c r="I63" s="11" t="s">
        <v>121</v>
      </c>
      <c r="J63" s="11" t="s">
        <v>145</v>
      </c>
      <c r="K63" s="11" t="s">
        <v>146</v>
      </c>
      <c r="L63" s="11" t="s">
        <v>260</v>
      </c>
      <c r="M63" s="11"/>
      <c r="N63" s="11" t="s">
        <v>68</v>
      </c>
    </row>
    <row r="64" customFormat="false" ht="30" hidden="false" customHeight="true" outlineLevel="0" collapsed="false">
      <c r="A64" s="10" t="n">
        <v>63</v>
      </c>
      <c r="B64" s="10" t="s">
        <v>24</v>
      </c>
      <c r="C64" s="10" t="s">
        <v>69</v>
      </c>
      <c r="D64" s="10" t="s">
        <v>261</v>
      </c>
      <c r="E64" s="10" t="s">
        <v>249</v>
      </c>
      <c r="F64" s="10" t="s">
        <v>62</v>
      </c>
      <c r="G64" s="12"/>
      <c r="H64" s="10"/>
      <c r="I64" s="10" t="s">
        <v>121</v>
      </c>
      <c r="J64" s="10" t="s">
        <v>145</v>
      </c>
      <c r="K64" s="10" t="s">
        <v>146</v>
      </c>
      <c r="L64" s="10" t="s">
        <v>262</v>
      </c>
      <c r="M64" s="10"/>
      <c r="N64" s="10" t="s">
        <v>68</v>
      </c>
    </row>
    <row r="65" customFormat="false" ht="30" hidden="false" customHeight="true" outlineLevel="0" collapsed="false">
      <c r="A65" s="11" t="n">
        <v>64</v>
      </c>
      <c r="B65" s="11" t="s">
        <v>24</v>
      </c>
      <c r="C65" s="11" t="s">
        <v>69</v>
      </c>
      <c r="D65" s="11" t="s">
        <v>263</v>
      </c>
      <c r="E65" s="11" t="s">
        <v>264</v>
      </c>
      <c r="F65" s="11" t="s">
        <v>62</v>
      </c>
      <c r="G65" s="13"/>
      <c r="H65" s="11"/>
      <c r="I65" s="11" t="s">
        <v>63</v>
      </c>
      <c r="J65" s="11" t="s">
        <v>145</v>
      </c>
      <c r="K65" s="11" t="s">
        <v>146</v>
      </c>
      <c r="L65" s="11" t="s">
        <v>265</v>
      </c>
      <c r="M65" s="11"/>
      <c r="N65" s="11" t="s">
        <v>68</v>
      </c>
    </row>
    <row r="66" customFormat="false" ht="30" hidden="false" customHeight="true" outlineLevel="0" collapsed="false">
      <c r="A66" s="10" t="n">
        <v>65</v>
      </c>
      <c r="B66" s="10" t="s">
        <v>24</v>
      </c>
      <c r="C66" s="10" t="s">
        <v>69</v>
      </c>
      <c r="D66" s="10" t="s">
        <v>266</v>
      </c>
      <c r="E66" s="10" t="s">
        <v>264</v>
      </c>
      <c r="F66" s="10" t="s">
        <v>62</v>
      </c>
      <c r="G66" s="12"/>
      <c r="H66" s="10"/>
      <c r="I66" s="10" t="s">
        <v>63</v>
      </c>
      <c r="J66" s="10" t="s">
        <v>145</v>
      </c>
      <c r="K66" s="10" t="s">
        <v>146</v>
      </c>
      <c r="L66" s="10" t="s">
        <v>267</v>
      </c>
      <c r="M66" s="10"/>
      <c r="N66" s="10" t="s">
        <v>68</v>
      </c>
    </row>
    <row r="67" customFormat="false" ht="30" hidden="false" customHeight="true" outlineLevel="0" collapsed="false">
      <c r="A67" s="11" t="n">
        <v>66</v>
      </c>
      <c r="B67" s="11" t="s">
        <v>24</v>
      </c>
      <c r="C67" s="11" t="s">
        <v>69</v>
      </c>
      <c r="D67" s="11" t="s">
        <v>268</v>
      </c>
      <c r="E67" s="11" t="s">
        <v>269</v>
      </c>
      <c r="F67" s="11" t="s">
        <v>62</v>
      </c>
      <c r="G67" s="13"/>
      <c r="H67" s="11"/>
      <c r="I67" s="11" t="s">
        <v>121</v>
      </c>
      <c r="J67" s="11" t="s">
        <v>145</v>
      </c>
      <c r="K67" s="11" t="s">
        <v>146</v>
      </c>
      <c r="L67" s="11" t="s">
        <v>270</v>
      </c>
      <c r="M67" s="11"/>
      <c r="N67" s="11" t="s">
        <v>68</v>
      </c>
    </row>
    <row r="68" customFormat="false" ht="30" hidden="false" customHeight="true" outlineLevel="0" collapsed="false">
      <c r="A68" s="10" t="n">
        <v>67</v>
      </c>
      <c r="B68" s="10" t="s">
        <v>24</v>
      </c>
      <c r="C68" s="10" t="s">
        <v>271</v>
      </c>
      <c r="D68" s="10" t="s">
        <v>272</v>
      </c>
      <c r="E68" s="10" t="s">
        <v>144</v>
      </c>
      <c r="F68" s="10" t="s">
        <v>62</v>
      </c>
      <c r="G68" s="12"/>
      <c r="H68" s="10"/>
      <c r="I68" s="10" t="s">
        <v>121</v>
      </c>
      <c r="J68" s="10" t="s">
        <v>145</v>
      </c>
      <c r="K68" s="10" t="s">
        <v>273</v>
      </c>
      <c r="L68" s="10" t="s">
        <v>274</v>
      </c>
      <c r="M68" s="10"/>
      <c r="N68" s="10" t="s">
        <v>68</v>
      </c>
    </row>
    <row r="69" customFormat="false" ht="30" hidden="false" customHeight="true" outlineLevel="0" collapsed="false">
      <c r="A69" s="11" t="n">
        <v>68</v>
      </c>
      <c r="B69" s="11" t="s">
        <v>24</v>
      </c>
      <c r="C69" s="11" t="s">
        <v>271</v>
      </c>
      <c r="D69" s="11" t="s">
        <v>275</v>
      </c>
      <c r="E69" s="11" t="s">
        <v>120</v>
      </c>
      <c r="F69" s="11" t="s">
        <v>62</v>
      </c>
      <c r="G69" s="13"/>
      <c r="H69" s="11"/>
      <c r="I69" s="11" t="s">
        <v>121</v>
      </c>
      <c r="J69" s="11" t="s">
        <v>145</v>
      </c>
      <c r="K69" s="11" t="s">
        <v>273</v>
      </c>
      <c r="L69" s="11" t="s">
        <v>276</v>
      </c>
      <c r="M69" s="11"/>
      <c r="N69" s="11" t="s">
        <v>68</v>
      </c>
    </row>
    <row r="70" customFormat="false" ht="30" hidden="false" customHeight="true" outlineLevel="0" collapsed="false">
      <c r="A70" s="10" t="n">
        <v>69</v>
      </c>
      <c r="B70" s="10" t="s">
        <v>24</v>
      </c>
      <c r="C70" s="10" t="s">
        <v>271</v>
      </c>
      <c r="D70" s="10" t="s">
        <v>277</v>
      </c>
      <c r="E70" s="10" t="s">
        <v>278</v>
      </c>
      <c r="F70" s="10" t="s">
        <v>62</v>
      </c>
      <c r="G70" s="12"/>
      <c r="H70" s="10"/>
      <c r="I70" s="10" t="s">
        <v>121</v>
      </c>
      <c r="J70" s="10" t="s">
        <v>145</v>
      </c>
      <c r="K70" s="10" t="s">
        <v>273</v>
      </c>
      <c r="L70" s="10" t="s">
        <v>279</v>
      </c>
      <c r="M70" s="10" t="s">
        <v>280</v>
      </c>
      <c r="N70" s="10" t="s">
        <v>68</v>
      </c>
    </row>
    <row r="71" customFormat="false" ht="30" hidden="false" customHeight="true" outlineLevel="0" collapsed="false">
      <c r="A71" s="11" t="n">
        <v>70</v>
      </c>
      <c r="B71" s="11" t="s">
        <v>24</v>
      </c>
      <c r="C71" s="11" t="s">
        <v>271</v>
      </c>
      <c r="D71" s="11" t="s">
        <v>281</v>
      </c>
      <c r="E71" s="11" t="s">
        <v>282</v>
      </c>
      <c r="F71" s="11" t="s">
        <v>62</v>
      </c>
      <c r="G71" s="13"/>
      <c r="H71" s="11"/>
      <c r="I71" s="11" t="s">
        <v>121</v>
      </c>
      <c r="J71" s="11" t="s">
        <v>145</v>
      </c>
      <c r="K71" s="11" t="s">
        <v>273</v>
      </c>
      <c r="L71" s="11" t="s">
        <v>283</v>
      </c>
      <c r="M71" s="11"/>
      <c r="N71" s="11" t="s">
        <v>68</v>
      </c>
    </row>
    <row r="72" customFormat="false" ht="30" hidden="false" customHeight="true" outlineLevel="0" collapsed="false">
      <c r="A72" s="10" t="n">
        <v>71</v>
      </c>
      <c r="B72" s="10" t="s">
        <v>24</v>
      </c>
      <c r="C72" s="10" t="s">
        <v>271</v>
      </c>
      <c r="D72" s="10" t="s">
        <v>284</v>
      </c>
      <c r="E72" s="10" t="s">
        <v>285</v>
      </c>
      <c r="F72" s="10" t="s">
        <v>62</v>
      </c>
      <c r="G72" s="12"/>
      <c r="H72" s="10"/>
      <c r="I72" s="10" t="s">
        <v>121</v>
      </c>
      <c r="J72" s="10" t="s">
        <v>145</v>
      </c>
      <c r="K72" s="10" t="s">
        <v>273</v>
      </c>
      <c r="L72" s="10" t="s">
        <v>286</v>
      </c>
      <c r="M72" s="10"/>
      <c r="N72" s="10" t="s">
        <v>68</v>
      </c>
    </row>
    <row r="73" customFormat="false" ht="30" hidden="false" customHeight="true" outlineLevel="0" collapsed="false">
      <c r="A73" s="11" t="n">
        <v>72</v>
      </c>
      <c r="B73" s="11" t="s">
        <v>24</v>
      </c>
      <c r="C73" s="11" t="s">
        <v>271</v>
      </c>
      <c r="D73" s="11" t="s">
        <v>287</v>
      </c>
      <c r="E73" s="11" t="s">
        <v>217</v>
      </c>
      <c r="F73" s="11" t="s">
        <v>62</v>
      </c>
      <c r="G73" s="13"/>
      <c r="H73" s="11"/>
      <c r="I73" s="11" t="s">
        <v>121</v>
      </c>
      <c r="J73" s="11" t="s">
        <v>145</v>
      </c>
      <c r="K73" s="11" t="s">
        <v>273</v>
      </c>
      <c r="L73" s="11" t="s">
        <v>288</v>
      </c>
      <c r="M73" s="11"/>
      <c r="N73" s="11" t="s">
        <v>68</v>
      </c>
    </row>
    <row r="74" customFormat="false" ht="30" hidden="false" customHeight="true" outlineLevel="0" collapsed="false">
      <c r="A74" s="10" t="n">
        <v>73</v>
      </c>
      <c r="B74" s="10" t="s">
        <v>24</v>
      </c>
      <c r="C74" s="10" t="s">
        <v>271</v>
      </c>
      <c r="D74" s="10" t="s">
        <v>289</v>
      </c>
      <c r="E74" s="10" t="s">
        <v>217</v>
      </c>
      <c r="F74" s="10" t="s">
        <v>62</v>
      </c>
      <c r="G74" s="12"/>
      <c r="H74" s="10"/>
      <c r="I74" s="10" t="s">
        <v>170</v>
      </c>
      <c r="J74" s="10" t="s">
        <v>145</v>
      </c>
      <c r="K74" s="10" t="s">
        <v>273</v>
      </c>
      <c r="L74" s="10" t="s">
        <v>290</v>
      </c>
      <c r="M74" s="10"/>
      <c r="N74" s="10" t="s">
        <v>68</v>
      </c>
    </row>
    <row r="75" customFormat="false" ht="30" hidden="false" customHeight="true" outlineLevel="0" collapsed="false">
      <c r="A75" s="11" t="n">
        <v>74</v>
      </c>
      <c r="B75" s="11" t="s">
        <v>24</v>
      </c>
      <c r="C75" s="11" t="s">
        <v>271</v>
      </c>
      <c r="D75" s="11" t="s">
        <v>291</v>
      </c>
      <c r="E75" s="11" t="s">
        <v>292</v>
      </c>
      <c r="F75" s="11" t="s">
        <v>62</v>
      </c>
      <c r="G75" s="13"/>
      <c r="H75" s="11"/>
      <c r="I75" s="11" t="s">
        <v>121</v>
      </c>
      <c r="J75" s="11" t="s">
        <v>145</v>
      </c>
      <c r="K75" s="11" t="s">
        <v>273</v>
      </c>
      <c r="L75" s="11" t="s">
        <v>293</v>
      </c>
      <c r="M75" s="11"/>
      <c r="N75" s="11" t="s">
        <v>68</v>
      </c>
    </row>
    <row r="76" customFormat="false" ht="30" hidden="false" customHeight="true" outlineLevel="0" collapsed="false">
      <c r="A76" s="10" t="n">
        <v>75</v>
      </c>
      <c r="B76" s="10" t="s">
        <v>24</v>
      </c>
      <c r="C76" s="10" t="s">
        <v>271</v>
      </c>
      <c r="D76" s="10" t="s">
        <v>294</v>
      </c>
      <c r="E76" s="10" t="s">
        <v>249</v>
      </c>
      <c r="F76" s="10" t="s">
        <v>62</v>
      </c>
      <c r="G76" s="12"/>
      <c r="H76" s="10"/>
      <c r="I76" s="10" t="s">
        <v>121</v>
      </c>
      <c r="J76" s="10" t="s">
        <v>145</v>
      </c>
      <c r="K76" s="10" t="s">
        <v>273</v>
      </c>
      <c r="L76" s="10" t="s">
        <v>295</v>
      </c>
      <c r="M76" s="10"/>
      <c r="N76" s="10" t="s">
        <v>68</v>
      </c>
    </row>
    <row r="77" customFormat="false" ht="30" hidden="false" customHeight="true" outlineLevel="0" collapsed="false">
      <c r="A77" s="11" t="n">
        <v>76</v>
      </c>
      <c r="B77" s="11" t="s">
        <v>24</v>
      </c>
      <c r="C77" s="11" t="s">
        <v>296</v>
      </c>
      <c r="D77" s="11" t="s">
        <v>297</v>
      </c>
      <c r="E77" s="11" t="s">
        <v>249</v>
      </c>
      <c r="F77" s="11" t="s">
        <v>62</v>
      </c>
      <c r="G77" s="13"/>
      <c r="H77" s="11"/>
      <c r="I77" s="11" t="s">
        <v>121</v>
      </c>
      <c r="J77" s="11" t="s">
        <v>145</v>
      </c>
      <c r="K77" s="11" t="s">
        <v>146</v>
      </c>
      <c r="L77" s="11" t="s">
        <v>298</v>
      </c>
      <c r="M77" s="11"/>
      <c r="N77" s="11" t="s">
        <v>68</v>
      </c>
    </row>
    <row r="78" customFormat="false" ht="30" hidden="false" customHeight="true" outlineLevel="0" collapsed="false">
      <c r="A78" s="10" t="n">
        <v>77</v>
      </c>
      <c r="B78" s="10" t="s">
        <v>24</v>
      </c>
      <c r="C78" s="10" t="s">
        <v>271</v>
      </c>
      <c r="D78" s="10" t="s">
        <v>299</v>
      </c>
      <c r="E78" s="10" t="s">
        <v>205</v>
      </c>
      <c r="F78" s="10" t="s">
        <v>62</v>
      </c>
      <c r="G78" s="12"/>
      <c r="H78" s="10"/>
      <c r="I78" s="10" t="s">
        <v>121</v>
      </c>
      <c r="J78" s="10" t="s">
        <v>145</v>
      </c>
      <c r="K78" s="10" t="s">
        <v>273</v>
      </c>
      <c r="L78" s="10" t="s">
        <v>300</v>
      </c>
      <c r="M78" s="10"/>
      <c r="N78" s="10" t="s">
        <v>68</v>
      </c>
    </row>
    <row r="79" customFormat="false" ht="30" hidden="false" customHeight="true" outlineLevel="0" collapsed="false">
      <c r="A79" s="11" t="n">
        <v>78</v>
      </c>
      <c r="B79" s="11" t="s">
        <v>24</v>
      </c>
      <c r="C79" s="11" t="s">
        <v>271</v>
      </c>
      <c r="D79" s="11" t="s">
        <v>301</v>
      </c>
      <c r="E79" s="11" t="s">
        <v>205</v>
      </c>
      <c r="F79" s="11" t="s">
        <v>62</v>
      </c>
      <c r="G79" s="13"/>
      <c r="H79" s="11"/>
      <c r="I79" s="11" t="s">
        <v>121</v>
      </c>
      <c r="J79" s="11" t="s">
        <v>145</v>
      </c>
      <c r="K79" s="11" t="s">
        <v>273</v>
      </c>
      <c r="L79" s="11" t="s">
        <v>302</v>
      </c>
      <c r="M79" s="11"/>
      <c r="N79" s="11" t="s">
        <v>68</v>
      </c>
    </row>
    <row r="80" customFormat="false" ht="30" hidden="false" customHeight="true" outlineLevel="0" collapsed="false">
      <c r="A80" s="10" t="n">
        <v>79</v>
      </c>
      <c r="B80" s="10" t="s">
        <v>24</v>
      </c>
      <c r="C80" s="10" t="s">
        <v>271</v>
      </c>
      <c r="D80" s="10" t="s">
        <v>303</v>
      </c>
      <c r="E80" s="10" t="s">
        <v>205</v>
      </c>
      <c r="F80" s="10" t="s">
        <v>62</v>
      </c>
      <c r="G80" s="12"/>
      <c r="H80" s="10"/>
      <c r="I80" s="10" t="s">
        <v>121</v>
      </c>
      <c r="J80" s="10" t="s">
        <v>145</v>
      </c>
      <c r="K80" s="10" t="s">
        <v>273</v>
      </c>
      <c r="L80" s="10" t="s">
        <v>304</v>
      </c>
      <c r="M80" s="10"/>
      <c r="N80" s="10" t="s">
        <v>68</v>
      </c>
    </row>
    <row r="81" customFormat="false" ht="30" hidden="false" customHeight="true" outlineLevel="0" collapsed="false">
      <c r="A81" s="11" t="n">
        <v>80</v>
      </c>
      <c r="B81" s="11" t="s">
        <v>24</v>
      </c>
      <c r="C81" s="11" t="s">
        <v>271</v>
      </c>
      <c r="D81" s="11" t="s">
        <v>305</v>
      </c>
      <c r="E81" s="11" t="s">
        <v>205</v>
      </c>
      <c r="F81" s="11" t="s">
        <v>62</v>
      </c>
      <c r="G81" s="13"/>
      <c r="H81" s="11"/>
      <c r="I81" s="11" t="s">
        <v>121</v>
      </c>
      <c r="J81" s="11" t="s">
        <v>145</v>
      </c>
      <c r="K81" s="11" t="s">
        <v>273</v>
      </c>
      <c r="L81" s="11" t="s">
        <v>306</v>
      </c>
      <c r="M81" s="11"/>
      <c r="N81" s="11" t="s">
        <v>68</v>
      </c>
    </row>
    <row r="82" customFormat="false" ht="30" hidden="false" customHeight="true" outlineLevel="0" collapsed="false">
      <c r="A82" s="10" t="n">
        <v>81</v>
      </c>
      <c r="B82" s="10" t="s">
        <v>24</v>
      </c>
      <c r="C82" s="10" t="s">
        <v>271</v>
      </c>
      <c r="D82" s="10" t="s">
        <v>307</v>
      </c>
      <c r="E82" s="10" t="s">
        <v>187</v>
      </c>
      <c r="F82" s="10" t="s">
        <v>62</v>
      </c>
      <c r="G82" s="12"/>
      <c r="H82" s="10"/>
      <c r="I82" s="10" t="s">
        <v>63</v>
      </c>
      <c r="J82" s="10" t="s">
        <v>145</v>
      </c>
      <c r="K82" s="10" t="s">
        <v>273</v>
      </c>
      <c r="L82" s="10" t="s">
        <v>308</v>
      </c>
      <c r="M82" s="10"/>
      <c r="N82" s="10" t="s">
        <v>68</v>
      </c>
    </row>
    <row r="83" customFormat="false" ht="30" hidden="false" customHeight="true" outlineLevel="0" collapsed="false">
      <c r="A83" s="11" t="n">
        <v>82</v>
      </c>
      <c r="B83" s="11" t="s">
        <v>12</v>
      </c>
      <c r="C83" s="11" t="s">
        <v>309</v>
      </c>
      <c r="D83" s="11" t="s">
        <v>310</v>
      </c>
      <c r="E83" s="11" t="s">
        <v>61</v>
      </c>
      <c r="F83" s="11" t="s">
        <v>62</v>
      </c>
      <c r="G83" s="13" t="n">
        <v>4.2</v>
      </c>
      <c r="H83" s="11" t="n">
        <v>194</v>
      </c>
      <c r="I83" s="11" t="s">
        <v>63</v>
      </c>
      <c r="J83" s="11" t="s">
        <v>64</v>
      </c>
      <c r="K83" s="11" t="s">
        <v>311</v>
      </c>
      <c r="L83" s="11" t="s">
        <v>312</v>
      </c>
      <c r="M83" s="11" t="s">
        <v>313</v>
      </c>
      <c r="N83" s="11" t="s">
        <v>68</v>
      </c>
    </row>
    <row r="84" customFormat="false" ht="30" hidden="false" customHeight="true" outlineLevel="0" collapsed="false">
      <c r="A84" s="10" t="n">
        <v>83</v>
      </c>
      <c r="B84" s="10" t="s">
        <v>12</v>
      </c>
      <c r="C84" s="10" t="s">
        <v>314</v>
      </c>
      <c r="D84" s="10" t="s">
        <v>315</v>
      </c>
      <c r="E84" s="10" t="s">
        <v>61</v>
      </c>
      <c r="F84" s="10" t="s">
        <v>62</v>
      </c>
      <c r="G84" s="12" t="n">
        <v>4.2</v>
      </c>
      <c r="H84" s="10" t="n">
        <v>53</v>
      </c>
      <c r="I84" s="10" t="s">
        <v>63</v>
      </c>
      <c r="J84" s="10" t="s">
        <v>64</v>
      </c>
      <c r="K84" s="10" t="s">
        <v>311</v>
      </c>
      <c r="L84" s="10" t="s">
        <v>316</v>
      </c>
      <c r="M84" s="10" t="s">
        <v>317</v>
      </c>
      <c r="N84" s="10" t="s">
        <v>68</v>
      </c>
    </row>
    <row r="85" customFormat="false" ht="30" hidden="false" customHeight="true" outlineLevel="0" collapsed="false">
      <c r="A85" s="11" t="n">
        <v>84</v>
      </c>
      <c r="B85" s="11" t="s">
        <v>12</v>
      </c>
      <c r="C85" s="11" t="s">
        <v>318</v>
      </c>
      <c r="D85" s="11" t="s">
        <v>319</v>
      </c>
      <c r="E85" s="11" t="s">
        <v>120</v>
      </c>
      <c r="F85" s="11" t="s">
        <v>62</v>
      </c>
      <c r="G85" s="13" t="n">
        <v>4.5</v>
      </c>
      <c r="H85" s="11" t="n">
        <v>24</v>
      </c>
      <c r="I85" s="11" t="s">
        <v>63</v>
      </c>
      <c r="J85" s="11" t="s">
        <v>64</v>
      </c>
      <c r="K85" s="11" t="s">
        <v>311</v>
      </c>
      <c r="L85" s="11" t="s">
        <v>320</v>
      </c>
      <c r="M85" s="11" t="s">
        <v>321</v>
      </c>
      <c r="N85" s="11" t="s">
        <v>68</v>
      </c>
    </row>
    <row r="86" customFormat="false" ht="30" hidden="false" customHeight="true" outlineLevel="0" collapsed="false">
      <c r="A86" s="10" t="n">
        <v>85</v>
      </c>
      <c r="B86" s="10" t="s">
        <v>12</v>
      </c>
      <c r="C86" s="10" t="s">
        <v>12</v>
      </c>
      <c r="D86" s="10" t="s">
        <v>322</v>
      </c>
      <c r="E86" s="10" t="s">
        <v>323</v>
      </c>
      <c r="F86" s="10" t="s">
        <v>62</v>
      </c>
      <c r="G86" s="12" t="n">
        <v>4.4</v>
      </c>
      <c r="H86" s="10" t="n">
        <v>36</v>
      </c>
      <c r="I86" s="10" t="s">
        <v>63</v>
      </c>
      <c r="J86" s="10" t="s">
        <v>64</v>
      </c>
      <c r="K86" s="10" t="s">
        <v>311</v>
      </c>
      <c r="L86" s="10" t="s">
        <v>324</v>
      </c>
      <c r="M86" s="10"/>
      <c r="N86" s="10" t="s">
        <v>68</v>
      </c>
    </row>
    <row r="87" customFormat="false" ht="30" hidden="false" customHeight="true" outlineLevel="0" collapsed="false">
      <c r="A87" s="11" t="n">
        <v>86</v>
      </c>
      <c r="B87" s="11" t="s">
        <v>12</v>
      </c>
      <c r="C87" s="11" t="s">
        <v>12</v>
      </c>
      <c r="D87" s="11" t="s">
        <v>325</v>
      </c>
      <c r="E87" s="11" t="s">
        <v>326</v>
      </c>
      <c r="F87" s="11" t="s">
        <v>62</v>
      </c>
      <c r="G87" s="13" t="n">
        <v>4.9</v>
      </c>
      <c r="H87" s="11" t="n">
        <v>32</v>
      </c>
      <c r="I87" s="11" t="s">
        <v>63</v>
      </c>
      <c r="J87" s="11" t="s">
        <v>64</v>
      </c>
      <c r="K87" s="11" t="s">
        <v>311</v>
      </c>
      <c r="L87" s="11" t="s">
        <v>327</v>
      </c>
      <c r="M87" s="11" t="s">
        <v>328</v>
      </c>
      <c r="N87" s="11" t="s">
        <v>68</v>
      </c>
    </row>
    <row r="88" customFormat="false" ht="30" hidden="false" customHeight="true" outlineLevel="0" collapsed="false">
      <c r="A88" s="10" t="n">
        <v>87</v>
      </c>
      <c r="B88" s="10" t="s">
        <v>12</v>
      </c>
      <c r="C88" s="10" t="s">
        <v>12</v>
      </c>
      <c r="D88" s="10" t="s">
        <v>329</v>
      </c>
      <c r="E88" s="10" t="s">
        <v>326</v>
      </c>
      <c r="F88" s="10" t="s">
        <v>62</v>
      </c>
      <c r="G88" s="12" t="n">
        <v>4.3</v>
      </c>
      <c r="H88" s="10" t="n">
        <v>137</v>
      </c>
      <c r="I88" s="10" t="s">
        <v>63</v>
      </c>
      <c r="J88" s="10" t="s">
        <v>64</v>
      </c>
      <c r="K88" s="10" t="s">
        <v>311</v>
      </c>
      <c r="L88" s="10" t="s">
        <v>330</v>
      </c>
      <c r="M88" s="10" t="s">
        <v>331</v>
      </c>
      <c r="N88" s="10" t="s">
        <v>68</v>
      </c>
    </row>
    <row r="89" customFormat="false" ht="30" hidden="false" customHeight="true" outlineLevel="0" collapsed="false">
      <c r="A89" s="11" t="n">
        <v>88</v>
      </c>
      <c r="B89" s="11" t="s">
        <v>12</v>
      </c>
      <c r="C89" s="11" t="s">
        <v>12</v>
      </c>
      <c r="D89" s="11" t="s">
        <v>332</v>
      </c>
      <c r="E89" s="11" t="s">
        <v>333</v>
      </c>
      <c r="F89" s="11" t="s">
        <v>62</v>
      </c>
      <c r="G89" s="13" t="n">
        <v>4.6</v>
      </c>
      <c r="H89" s="11" t="n">
        <v>18</v>
      </c>
      <c r="I89" s="11" t="s">
        <v>63</v>
      </c>
      <c r="J89" s="11" t="s">
        <v>64</v>
      </c>
      <c r="K89" s="11" t="s">
        <v>311</v>
      </c>
      <c r="L89" s="11" t="s">
        <v>334</v>
      </c>
      <c r="M89" s="11"/>
      <c r="N89" s="11" t="s">
        <v>68</v>
      </c>
    </row>
    <row r="90" customFormat="false" ht="30" hidden="false" customHeight="true" outlineLevel="0" collapsed="false">
      <c r="A90" s="10" t="n">
        <v>89</v>
      </c>
      <c r="B90" s="10" t="s">
        <v>12</v>
      </c>
      <c r="C90" s="10" t="s">
        <v>12</v>
      </c>
      <c r="D90" s="10" t="s">
        <v>335</v>
      </c>
      <c r="E90" s="10" t="s">
        <v>336</v>
      </c>
      <c r="F90" s="10" t="s">
        <v>62</v>
      </c>
      <c r="G90" s="12" t="n">
        <v>3.7</v>
      </c>
      <c r="H90" s="10" t="n">
        <v>169</v>
      </c>
      <c r="I90" s="10" t="s">
        <v>63</v>
      </c>
      <c r="J90" s="10" t="s">
        <v>64</v>
      </c>
      <c r="K90" s="10" t="s">
        <v>311</v>
      </c>
      <c r="L90" s="10" t="s">
        <v>337</v>
      </c>
      <c r="M90" s="10" t="s">
        <v>338</v>
      </c>
      <c r="N90" s="10" t="s">
        <v>68</v>
      </c>
    </row>
    <row r="91" customFormat="false" ht="30" hidden="false" customHeight="true" outlineLevel="0" collapsed="false">
      <c r="A91" s="11" t="n">
        <v>90</v>
      </c>
      <c r="B91" s="11" t="s">
        <v>12</v>
      </c>
      <c r="C91" s="11" t="s">
        <v>314</v>
      </c>
      <c r="D91" s="11" t="s">
        <v>339</v>
      </c>
      <c r="E91" s="11" t="s">
        <v>71</v>
      </c>
      <c r="F91" s="11" t="s">
        <v>62</v>
      </c>
      <c r="G91" s="13" t="n">
        <v>3.4</v>
      </c>
      <c r="H91" s="11" t="n">
        <v>39</v>
      </c>
      <c r="I91" s="11" t="s">
        <v>63</v>
      </c>
      <c r="J91" s="11" t="s">
        <v>64</v>
      </c>
      <c r="K91" s="11" t="s">
        <v>311</v>
      </c>
      <c r="L91" s="11" t="s">
        <v>340</v>
      </c>
      <c r="M91" s="11"/>
      <c r="N91" s="11" t="s">
        <v>68</v>
      </c>
    </row>
    <row r="92" customFormat="false" ht="30" hidden="false" customHeight="true" outlineLevel="0" collapsed="false">
      <c r="A92" s="10" t="n">
        <v>91</v>
      </c>
      <c r="B92" s="10" t="s">
        <v>12</v>
      </c>
      <c r="C92" s="10" t="s">
        <v>318</v>
      </c>
      <c r="D92" s="10" t="s">
        <v>341</v>
      </c>
      <c r="E92" s="10" t="s">
        <v>144</v>
      </c>
      <c r="F92" s="10" t="s">
        <v>62</v>
      </c>
      <c r="G92" s="12"/>
      <c r="H92" s="10"/>
      <c r="I92" s="10" t="s">
        <v>121</v>
      </c>
      <c r="J92" s="10" t="s">
        <v>145</v>
      </c>
      <c r="K92" s="10" t="s">
        <v>342</v>
      </c>
      <c r="L92" s="10" t="s">
        <v>343</v>
      </c>
      <c r="M92" s="10"/>
      <c r="N92" s="10" t="s">
        <v>68</v>
      </c>
    </row>
    <row r="93" customFormat="false" ht="30" hidden="false" customHeight="true" outlineLevel="0" collapsed="false">
      <c r="A93" s="11" t="n">
        <v>92</v>
      </c>
      <c r="B93" s="11" t="s">
        <v>12</v>
      </c>
      <c r="C93" s="11" t="s">
        <v>12</v>
      </c>
      <c r="D93" s="11" t="s">
        <v>344</v>
      </c>
      <c r="E93" s="11" t="s">
        <v>345</v>
      </c>
      <c r="F93" s="11" t="s">
        <v>62</v>
      </c>
      <c r="G93" s="13"/>
      <c r="H93" s="11"/>
      <c r="I93" s="11" t="s">
        <v>121</v>
      </c>
      <c r="J93" s="11" t="s">
        <v>145</v>
      </c>
      <c r="K93" s="11" t="s">
        <v>342</v>
      </c>
      <c r="L93" s="11" t="s">
        <v>346</v>
      </c>
      <c r="M93" s="11"/>
      <c r="N93" s="11" t="s">
        <v>68</v>
      </c>
    </row>
    <row r="94" customFormat="false" ht="30" hidden="false" customHeight="true" outlineLevel="0" collapsed="false">
      <c r="A94" s="10" t="n">
        <v>93</v>
      </c>
      <c r="B94" s="10" t="s">
        <v>12</v>
      </c>
      <c r="C94" s="10" t="s">
        <v>309</v>
      </c>
      <c r="D94" s="10" t="s">
        <v>347</v>
      </c>
      <c r="E94" s="10" t="s">
        <v>348</v>
      </c>
      <c r="F94" s="10" t="s">
        <v>62</v>
      </c>
      <c r="G94" s="12"/>
      <c r="H94" s="10"/>
      <c r="I94" s="10" t="s">
        <v>63</v>
      </c>
      <c r="J94" s="10" t="s">
        <v>145</v>
      </c>
      <c r="K94" s="10" t="s">
        <v>342</v>
      </c>
      <c r="L94" s="10" t="s">
        <v>349</v>
      </c>
      <c r="M94" s="10" t="s">
        <v>350</v>
      </c>
      <c r="N94" s="10" t="s">
        <v>68</v>
      </c>
    </row>
    <row r="95" customFormat="false" ht="30" hidden="false" customHeight="true" outlineLevel="0" collapsed="false">
      <c r="A95" s="11" t="n">
        <v>94</v>
      </c>
      <c r="B95" s="11" t="s">
        <v>12</v>
      </c>
      <c r="C95" s="11" t="s">
        <v>12</v>
      </c>
      <c r="D95" s="11" t="s">
        <v>351</v>
      </c>
      <c r="E95" s="11" t="s">
        <v>144</v>
      </c>
      <c r="F95" s="11" t="s">
        <v>62</v>
      </c>
      <c r="G95" s="13"/>
      <c r="H95" s="11"/>
      <c r="I95" s="11" t="s">
        <v>121</v>
      </c>
      <c r="J95" s="11" t="s">
        <v>145</v>
      </c>
      <c r="K95" s="11" t="s">
        <v>342</v>
      </c>
      <c r="L95" s="11" t="s">
        <v>352</v>
      </c>
      <c r="M95" s="11"/>
      <c r="N95" s="11" t="s">
        <v>68</v>
      </c>
    </row>
    <row r="96" customFormat="false" ht="30" hidden="false" customHeight="true" outlineLevel="0" collapsed="false">
      <c r="A96" s="10" t="n">
        <v>95</v>
      </c>
      <c r="B96" s="10" t="s">
        <v>12</v>
      </c>
      <c r="C96" s="10" t="s">
        <v>12</v>
      </c>
      <c r="D96" s="10" t="s">
        <v>353</v>
      </c>
      <c r="E96" s="10" t="s">
        <v>354</v>
      </c>
      <c r="F96" s="10" t="s">
        <v>62</v>
      </c>
      <c r="G96" s="12"/>
      <c r="H96" s="10"/>
      <c r="I96" s="10" t="s">
        <v>63</v>
      </c>
      <c r="J96" s="10" t="s">
        <v>145</v>
      </c>
      <c r="K96" s="10" t="s">
        <v>342</v>
      </c>
      <c r="L96" s="10" t="s">
        <v>355</v>
      </c>
      <c r="M96" s="10"/>
      <c r="N96" s="10" t="s">
        <v>68</v>
      </c>
    </row>
    <row r="97" customFormat="false" ht="30" hidden="false" customHeight="true" outlineLevel="0" collapsed="false">
      <c r="A97" s="11" t="n">
        <v>96</v>
      </c>
      <c r="B97" s="11" t="s">
        <v>12</v>
      </c>
      <c r="C97" s="11" t="s">
        <v>12</v>
      </c>
      <c r="D97" s="11" t="s">
        <v>356</v>
      </c>
      <c r="E97" s="11" t="s">
        <v>120</v>
      </c>
      <c r="F97" s="11" t="s">
        <v>62</v>
      </c>
      <c r="G97" s="13"/>
      <c r="H97" s="11"/>
      <c r="I97" s="11" t="s">
        <v>121</v>
      </c>
      <c r="J97" s="11" t="s">
        <v>145</v>
      </c>
      <c r="K97" s="11" t="s">
        <v>342</v>
      </c>
      <c r="L97" s="11" t="s">
        <v>357</v>
      </c>
      <c r="M97" s="11"/>
      <c r="N97" s="11" t="s">
        <v>68</v>
      </c>
    </row>
    <row r="98" customFormat="false" ht="30" hidden="false" customHeight="true" outlineLevel="0" collapsed="false">
      <c r="A98" s="10" t="n">
        <v>97</v>
      </c>
      <c r="B98" s="10" t="s">
        <v>12</v>
      </c>
      <c r="C98" s="10" t="s">
        <v>12</v>
      </c>
      <c r="D98" s="10" t="s">
        <v>358</v>
      </c>
      <c r="E98" s="10" t="s">
        <v>359</v>
      </c>
      <c r="F98" s="10" t="s">
        <v>62</v>
      </c>
      <c r="G98" s="12"/>
      <c r="H98" s="10"/>
      <c r="I98" s="10" t="s">
        <v>121</v>
      </c>
      <c r="J98" s="10" t="s">
        <v>145</v>
      </c>
      <c r="K98" s="10" t="s">
        <v>342</v>
      </c>
      <c r="L98" s="10" t="s">
        <v>360</v>
      </c>
      <c r="M98" s="10" t="s">
        <v>361</v>
      </c>
      <c r="N98" s="10" t="s">
        <v>68</v>
      </c>
    </row>
    <row r="99" customFormat="false" ht="30" hidden="false" customHeight="true" outlineLevel="0" collapsed="false">
      <c r="A99" s="11" t="n">
        <v>98</v>
      </c>
      <c r="B99" s="11" t="s">
        <v>12</v>
      </c>
      <c r="C99" s="11" t="s">
        <v>12</v>
      </c>
      <c r="D99" s="11" t="s">
        <v>362</v>
      </c>
      <c r="E99" s="11" t="s">
        <v>176</v>
      </c>
      <c r="F99" s="11" t="s">
        <v>62</v>
      </c>
      <c r="G99" s="13"/>
      <c r="H99" s="11"/>
      <c r="I99" s="11" t="s">
        <v>121</v>
      </c>
      <c r="J99" s="11" t="s">
        <v>145</v>
      </c>
      <c r="K99" s="11" t="s">
        <v>342</v>
      </c>
      <c r="L99" s="11" t="s">
        <v>363</v>
      </c>
      <c r="M99" s="11"/>
      <c r="N99" s="11" t="s">
        <v>68</v>
      </c>
    </row>
    <row r="100" customFormat="false" ht="30" hidden="false" customHeight="true" outlineLevel="0" collapsed="false">
      <c r="A100" s="10" t="n">
        <v>99</v>
      </c>
      <c r="B100" s="10" t="s">
        <v>12</v>
      </c>
      <c r="C100" s="10" t="s">
        <v>12</v>
      </c>
      <c r="D100" s="10" t="s">
        <v>364</v>
      </c>
      <c r="E100" s="10" t="s">
        <v>365</v>
      </c>
      <c r="F100" s="10" t="s">
        <v>62</v>
      </c>
      <c r="G100" s="12"/>
      <c r="H100" s="10"/>
      <c r="I100" s="10" t="s">
        <v>121</v>
      </c>
      <c r="J100" s="10" t="s">
        <v>145</v>
      </c>
      <c r="K100" s="10" t="s">
        <v>342</v>
      </c>
      <c r="L100" s="10" t="s">
        <v>366</v>
      </c>
      <c r="M100" s="10"/>
      <c r="N100" s="10" t="s">
        <v>68</v>
      </c>
    </row>
    <row r="101" customFormat="false" ht="30" hidden="false" customHeight="true" outlineLevel="0" collapsed="false">
      <c r="A101" s="11" t="n">
        <v>100</v>
      </c>
      <c r="B101" s="11" t="s">
        <v>12</v>
      </c>
      <c r="C101" s="11" t="s">
        <v>12</v>
      </c>
      <c r="D101" s="11" t="s">
        <v>183</v>
      </c>
      <c r="E101" s="11" t="s">
        <v>184</v>
      </c>
      <c r="F101" s="11" t="s">
        <v>62</v>
      </c>
      <c r="G101" s="13"/>
      <c r="H101" s="11"/>
      <c r="I101" s="11" t="s">
        <v>63</v>
      </c>
      <c r="J101" s="11" t="s">
        <v>145</v>
      </c>
      <c r="K101" s="11" t="s">
        <v>342</v>
      </c>
      <c r="L101" s="11" t="s">
        <v>367</v>
      </c>
      <c r="M101" s="11"/>
      <c r="N101" s="11" t="s">
        <v>68</v>
      </c>
    </row>
    <row r="102" customFormat="false" ht="30" hidden="false" customHeight="true" outlineLevel="0" collapsed="false">
      <c r="A102" s="10" t="n">
        <v>101</v>
      </c>
      <c r="B102" s="10" t="s">
        <v>12</v>
      </c>
      <c r="C102" s="10" t="s">
        <v>12</v>
      </c>
      <c r="D102" s="10" t="s">
        <v>368</v>
      </c>
      <c r="E102" s="10" t="s">
        <v>144</v>
      </c>
      <c r="F102" s="10" t="s">
        <v>62</v>
      </c>
      <c r="G102" s="12"/>
      <c r="H102" s="10"/>
      <c r="I102" s="10" t="s">
        <v>121</v>
      </c>
      <c r="J102" s="10" t="s">
        <v>145</v>
      </c>
      <c r="K102" s="10" t="s">
        <v>342</v>
      </c>
      <c r="L102" s="10" t="s">
        <v>369</v>
      </c>
      <c r="M102" s="10"/>
      <c r="N102" s="10" t="s">
        <v>68</v>
      </c>
    </row>
    <row r="103" customFormat="false" ht="30" hidden="false" customHeight="true" outlineLevel="0" collapsed="false">
      <c r="A103" s="11" t="n">
        <v>102</v>
      </c>
      <c r="B103" s="11" t="s">
        <v>12</v>
      </c>
      <c r="C103" s="11" t="s">
        <v>12</v>
      </c>
      <c r="D103" s="11" t="s">
        <v>370</v>
      </c>
      <c r="E103" s="11" t="s">
        <v>144</v>
      </c>
      <c r="F103" s="11" t="s">
        <v>62</v>
      </c>
      <c r="G103" s="13"/>
      <c r="H103" s="11"/>
      <c r="I103" s="11" t="s">
        <v>170</v>
      </c>
      <c r="J103" s="11" t="s">
        <v>145</v>
      </c>
      <c r="K103" s="11" t="s">
        <v>342</v>
      </c>
      <c r="L103" s="11" t="s">
        <v>371</v>
      </c>
      <c r="M103" s="11"/>
      <c r="N103" s="11" t="s">
        <v>68</v>
      </c>
    </row>
    <row r="104" customFormat="false" ht="30" hidden="false" customHeight="true" outlineLevel="0" collapsed="false">
      <c r="A104" s="10" t="n">
        <v>103</v>
      </c>
      <c r="B104" s="10" t="s">
        <v>12</v>
      </c>
      <c r="C104" s="10" t="s">
        <v>12</v>
      </c>
      <c r="D104" s="10" t="s">
        <v>372</v>
      </c>
      <c r="E104" s="10" t="s">
        <v>373</v>
      </c>
      <c r="F104" s="10" t="s">
        <v>62</v>
      </c>
      <c r="G104" s="12"/>
      <c r="H104" s="10"/>
      <c r="I104" s="10" t="s">
        <v>121</v>
      </c>
      <c r="J104" s="10" t="s">
        <v>145</v>
      </c>
      <c r="K104" s="10" t="s">
        <v>342</v>
      </c>
      <c r="L104" s="10" t="s">
        <v>374</v>
      </c>
      <c r="M104" s="10"/>
      <c r="N104" s="10" t="s">
        <v>68</v>
      </c>
    </row>
    <row r="105" customFormat="false" ht="30" hidden="false" customHeight="true" outlineLevel="0" collapsed="false">
      <c r="A105" s="11" t="n">
        <v>104</v>
      </c>
      <c r="B105" s="11" t="s">
        <v>12</v>
      </c>
      <c r="C105" s="11" t="s">
        <v>12</v>
      </c>
      <c r="D105" s="11" t="s">
        <v>158</v>
      </c>
      <c r="E105" s="11" t="s">
        <v>159</v>
      </c>
      <c r="F105" s="11" t="s">
        <v>62</v>
      </c>
      <c r="G105" s="13"/>
      <c r="H105" s="11"/>
      <c r="I105" s="11" t="s">
        <v>63</v>
      </c>
      <c r="J105" s="11" t="s">
        <v>145</v>
      </c>
      <c r="K105" s="11" t="s">
        <v>342</v>
      </c>
      <c r="L105" s="11" t="s">
        <v>375</v>
      </c>
      <c r="M105" s="11"/>
      <c r="N105" s="11" t="s">
        <v>68</v>
      </c>
    </row>
    <row r="106" customFormat="false" ht="30" hidden="false" customHeight="true" outlineLevel="0" collapsed="false">
      <c r="A106" s="10" t="n">
        <v>105</v>
      </c>
      <c r="B106" s="10" t="s">
        <v>12</v>
      </c>
      <c r="C106" s="10" t="s">
        <v>12</v>
      </c>
      <c r="D106" s="10" t="s">
        <v>376</v>
      </c>
      <c r="E106" s="10" t="s">
        <v>377</v>
      </c>
      <c r="F106" s="10" t="s">
        <v>62</v>
      </c>
      <c r="G106" s="12"/>
      <c r="H106" s="10"/>
      <c r="I106" s="10" t="s">
        <v>121</v>
      </c>
      <c r="J106" s="10" t="s">
        <v>145</v>
      </c>
      <c r="K106" s="10" t="s">
        <v>342</v>
      </c>
      <c r="L106" s="10" t="s">
        <v>378</v>
      </c>
      <c r="M106" s="10"/>
      <c r="N106" s="10" t="s">
        <v>68</v>
      </c>
    </row>
    <row r="107" customFormat="false" ht="30" hidden="false" customHeight="true" outlineLevel="0" collapsed="false">
      <c r="A107" s="11" t="n">
        <v>106</v>
      </c>
      <c r="B107" s="11" t="s">
        <v>12</v>
      </c>
      <c r="C107" s="11" t="s">
        <v>12</v>
      </c>
      <c r="D107" s="11" t="s">
        <v>379</v>
      </c>
      <c r="E107" s="11" t="s">
        <v>380</v>
      </c>
      <c r="F107" s="11" t="s">
        <v>62</v>
      </c>
      <c r="G107" s="13"/>
      <c r="H107" s="11"/>
      <c r="I107" s="11" t="s">
        <v>63</v>
      </c>
      <c r="J107" s="11" t="s">
        <v>145</v>
      </c>
      <c r="K107" s="11" t="s">
        <v>342</v>
      </c>
      <c r="L107" s="11" t="s">
        <v>381</v>
      </c>
      <c r="M107" s="11" t="s">
        <v>382</v>
      </c>
      <c r="N107" s="11" t="s">
        <v>68</v>
      </c>
    </row>
    <row r="108" customFormat="false" ht="30" hidden="false" customHeight="true" outlineLevel="0" collapsed="false">
      <c r="A108" s="10" t="n">
        <v>107</v>
      </c>
      <c r="B108" s="10" t="s">
        <v>12</v>
      </c>
      <c r="C108" s="10" t="s">
        <v>12</v>
      </c>
      <c r="D108" s="10" t="s">
        <v>383</v>
      </c>
      <c r="E108" s="10" t="s">
        <v>384</v>
      </c>
      <c r="F108" s="10" t="s">
        <v>62</v>
      </c>
      <c r="G108" s="12"/>
      <c r="H108" s="10"/>
      <c r="I108" s="10" t="s">
        <v>121</v>
      </c>
      <c r="J108" s="10" t="s">
        <v>145</v>
      </c>
      <c r="K108" s="10" t="s">
        <v>342</v>
      </c>
      <c r="L108" s="10" t="s">
        <v>385</v>
      </c>
      <c r="M108" s="10"/>
      <c r="N108" s="10" t="s">
        <v>68</v>
      </c>
    </row>
    <row r="109" customFormat="false" ht="30" hidden="false" customHeight="true" outlineLevel="0" collapsed="false">
      <c r="A109" s="11" t="n">
        <v>108</v>
      </c>
      <c r="B109" s="11" t="s">
        <v>12</v>
      </c>
      <c r="C109" s="11" t="s">
        <v>12</v>
      </c>
      <c r="D109" s="11" t="s">
        <v>386</v>
      </c>
      <c r="E109" s="11" t="s">
        <v>387</v>
      </c>
      <c r="F109" s="11" t="s">
        <v>62</v>
      </c>
      <c r="G109" s="13"/>
      <c r="H109" s="11"/>
      <c r="I109" s="11" t="s">
        <v>63</v>
      </c>
      <c r="J109" s="11" t="s">
        <v>145</v>
      </c>
      <c r="K109" s="11" t="s">
        <v>342</v>
      </c>
      <c r="L109" s="11" t="s">
        <v>388</v>
      </c>
      <c r="M109" s="11"/>
      <c r="N109" s="11" t="s">
        <v>68</v>
      </c>
    </row>
    <row r="110" customFormat="false" ht="30" hidden="false" customHeight="true" outlineLevel="0" collapsed="false">
      <c r="A110" s="10" t="n">
        <v>109</v>
      </c>
      <c r="B110" s="10" t="s">
        <v>12</v>
      </c>
      <c r="C110" s="10" t="s">
        <v>389</v>
      </c>
      <c r="D110" s="10" t="s">
        <v>204</v>
      </c>
      <c r="E110" s="10" t="s">
        <v>205</v>
      </c>
      <c r="F110" s="10" t="s">
        <v>62</v>
      </c>
      <c r="G110" s="12"/>
      <c r="H110" s="10"/>
      <c r="I110" s="10" t="s">
        <v>121</v>
      </c>
      <c r="J110" s="10" t="s">
        <v>145</v>
      </c>
      <c r="K110" s="10" t="s">
        <v>342</v>
      </c>
      <c r="L110" s="10" t="s">
        <v>390</v>
      </c>
      <c r="M110" s="10"/>
      <c r="N110" s="10" t="s">
        <v>68</v>
      </c>
    </row>
    <row r="111" customFormat="false" ht="30" hidden="false" customHeight="true" outlineLevel="0" collapsed="false">
      <c r="A111" s="11" t="n">
        <v>110</v>
      </c>
      <c r="B111" s="11" t="s">
        <v>12</v>
      </c>
      <c r="C111" s="11" t="s">
        <v>391</v>
      </c>
      <c r="D111" s="11" t="s">
        <v>202</v>
      </c>
      <c r="E111" s="11" t="s">
        <v>200</v>
      </c>
      <c r="F111" s="11" t="s">
        <v>62</v>
      </c>
      <c r="G111" s="13"/>
      <c r="H111" s="11"/>
      <c r="I111" s="11" t="s">
        <v>63</v>
      </c>
      <c r="J111" s="11" t="s">
        <v>145</v>
      </c>
      <c r="K111" s="11" t="s">
        <v>342</v>
      </c>
      <c r="L111" s="11" t="s">
        <v>392</v>
      </c>
      <c r="M111" s="11"/>
      <c r="N111" s="11" t="s">
        <v>68</v>
      </c>
    </row>
    <row r="112" customFormat="false" ht="30" hidden="false" customHeight="true" outlineLevel="0" collapsed="false">
      <c r="A112" s="10" t="n">
        <v>111</v>
      </c>
      <c r="B112" s="10" t="s">
        <v>12</v>
      </c>
      <c r="C112" s="10" t="s">
        <v>12</v>
      </c>
      <c r="D112" s="10" t="s">
        <v>393</v>
      </c>
      <c r="E112" s="10" t="s">
        <v>205</v>
      </c>
      <c r="F112" s="10" t="s">
        <v>62</v>
      </c>
      <c r="G112" s="12"/>
      <c r="H112" s="10"/>
      <c r="I112" s="10" t="s">
        <v>121</v>
      </c>
      <c r="J112" s="10" t="s">
        <v>145</v>
      </c>
      <c r="K112" s="10" t="s">
        <v>342</v>
      </c>
      <c r="L112" s="10" t="s">
        <v>394</v>
      </c>
      <c r="M112" s="10"/>
      <c r="N112" s="10" t="s">
        <v>68</v>
      </c>
    </row>
    <row r="113" customFormat="false" ht="30" hidden="false" customHeight="true" outlineLevel="0" collapsed="false">
      <c r="A113" s="11" t="n">
        <v>112</v>
      </c>
      <c r="B113" s="11" t="s">
        <v>12</v>
      </c>
      <c r="C113" s="11" t="s">
        <v>12</v>
      </c>
      <c r="D113" s="11" t="s">
        <v>395</v>
      </c>
      <c r="E113" s="11" t="s">
        <v>200</v>
      </c>
      <c r="F113" s="11" t="s">
        <v>62</v>
      </c>
      <c r="G113" s="13"/>
      <c r="H113" s="11"/>
      <c r="I113" s="11" t="s">
        <v>63</v>
      </c>
      <c r="J113" s="11" t="s">
        <v>145</v>
      </c>
      <c r="K113" s="11" t="s">
        <v>342</v>
      </c>
      <c r="L113" s="11" t="s">
        <v>396</v>
      </c>
      <c r="M113" s="11"/>
      <c r="N113" s="11" t="s">
        <v>68</v>
      </c>
    </row>
    <row r="114" customFormat="false" ht="30" hidden="false" customHeight="true" outlineLevel="0" collapsed="false">
      <c r="A114" s="10" t="n">
        <v>113</v>
      </c>
      <c r="B114" s="10" t="s">
        <v>12</v>
      </c>
      <c r="C114" s="10" t="s">
        <v>12</v>
      </c>
      <c r="D114" s="10" t="s">
        <v>397</v>
      </c>
      <c r="E114" s="10" t="s">
        <v>398</v>
      </c>
      <c r="F114" s="10" t="s">
        <v>62</v>
      </c>
      <c r="G114" s="12"/>
      <c r="H114" s="10"/>
      <c r="I114" s="10" t="s">
        <v>121</v>
      </c>
      <c r="J114" s="10" t="s">
        <v>145</v>
      </c>
      <c r="K114" s="10" t="s">
        <v>342</v>
      </c>
      <c r="L114" s="10" t="s">
        <v>399</v>
      </c>
      <c r="M114" s="10"/>
      <c r="N114" s="10" t="s">
        <v>68</v>
      </c>
    </row>
    <row r="115" customFormat="false" ht="30" hidden="false" customHeight="true" outlineLevel="0" collapsed="false">
      <c r="A115" s="11" t="n">
        <v>114</v>
      </c>
      <c r="B115" s="11" t="s">
        <v>12</v>
      </c>
      <c r="C115" s="11" t="s">
        <v>12</v>
      </c>
      <c r="D115" s="11" t="s">
        <v>400</v>
      </c>
      <c r="E115" s="11" t="s">
        <v>249</v>
      </c>
      <c r="F115" s="11" t="s">
        <v>62</v>
      </c>
      <c r="G115" s="13"/>
      <c r="H115" s="11"/>
      <c r="I115" s="11" t="s">
        <v>121</v>
      </c>
      <c r="J115" s="11" t="s">
        <v>145</v>
      </c>
      <c r="K115" s="11" t="s">
        <v>342</v>
      </c>
      <c r="L115" s="11" t="s">
        <v>401</v>
      </c>
      <c r="M115" s="11"/>
      <c r="N115" s="11" t="s">
        <v>68</v>
      </c>
    </row>
    <row r="116" customFormat="false" ht="30" hidden="false" customHeight="true" outlineLevel="0" collapsed="false">
      <c r="A116" s="10" t="n">
        <v>115</v>
      </c>
      <c r="B116" s="10" t="s">
        <v>12</v>
      </c>
      <c r="C116" s="10" t="s">
        <v>12</v>
      </c>
      <c r="D116" s="10" t="s">
        <v>402</v>
      </c>
      <c r="E116" s="10" t="s">
        <v>403</v>
      </c>
      <c r="F116" s="10" t="s">
        <v>62</v>
      </c>
      <c r="G116" s="12"/>
      <c r="H116" s="10"/>
      <c r="I116" s="10" t="s">
        <v>121</v>
      </c>
      <c r="J116" s="10" t="s">
        <v>145</v>
      </c>
      <c r="K116" s="10" t="s">
        <v>342</v>
      </c>
      <c r="L116" s="10" t="s">
        <v>404</v>
      </c>
      <c r="M116" s="10"/>
      <c r="N116" s="10" t="s">
        <v>68</v>
      </c>
    </row>
    <row r="117" customFormat="false" ht="30" hidden="false" customHeight="true" outlineLevel="0" collapsed="false">
      <c r="A117" s="11" t="n">
        <v>116</v>
      </c>
      <c r="B117" s="11" t="s">
        <v>12</v>
      </c>
      <c r="C117" s="11" t="s">
        <v>12</v>
      </c>
      <c r="D117" s="11" t="s">
        <v>405</v>
      </c>
      <c r="E117" s="11" t="s">
        <v>249</v>
      </c>
      <c r="F117" s="11" t="s">
        <v>62</v>
      </c>
      <c r="G117" s="13"/>
      <c r="H117" s="11"/>
      <c r="I117" s="11" t="s">
        <v>121</v>
      </c>
      <c r="J117" s="11" t="s">
        <v>145</v>
      </c>
      <c r="K117" s="11" t="s">
        <v>342</v>
      </c>
      <c r="L117" s="11" t="s">
        <v>406</v>
      </c>
      <c r="M117" s="11"/>
      <c r="N117" s="11" t="s">
        <v>68</v>
      </c>
    </row>
    <row r="118" customFormat="false" ht="30" hidden="false" customHeight="true" outlineLevel="0" collapsed="false">
      <c r="A118" s="10" t="n">
        <v>117</v>
      </c>
      <c r="B118" s="10" t="s">
        <v>12</v>
      </c>
      <c r="C118" s="10" t="s">
        <v>12</v>
      </c>
      <c r="D118" s="10" t="s">
        <v>407</v>
      </c>
      <c r="E118" s="10" t="s">
        <v>403</v>
      </c>
      <c r="F118" s="10" t="s">
        <v>62</v>
      </c>
      <c r="G118" s="12"/>
      <c r="H118" s="10"/>
      <c r="I118" s="10" t="s">
        <v>121</v>
      </c>
      <c r="J118" s="10" t="s">
        <v>145</v>
      </c>
      <c r="K118" s="10" t="s">
        <v>342</v>
      </c>
      <c r="L118" s="10" t="s">
        <v>408</v>
      </c>
      <c r="M118" s="10"/>
      <c r="N118" s="10" t="s">
        <v>68</v>
      </c>
    </row>
    <row r="119" customFormat="false" ht="30" hidden="false" customHeight="true" outlineLevel="0" collapsed="false">
      <c r="A119" s="11" t="n">
        <v>118</v>
      </c>
      <c r="B119" s="11" t="s">
        <v>12</v>
      </c>
      <c r="C119" s="11" t="s">
        <v>12</v>
      </c>
      <c r="D119" s="11" t="s">
        <v>409</v>
      </c>
      <c r="E119" s="11" t="s">
        <v>249</v>
      </c>
      <c r="F119" s="11" t="s">
        <v>62</v>
      </c>
      <c r="G119" s="13"/>
      <c r="H119" s="11"/>
      <c r="I119" s="11" t="s">
        <v>170</v>
      </c>
      <c r="J119" s="11" t="s">
        <v>145</v>
      </c>
      <c r="K119" s="11" t="s">
        <v>342</v>
      </c>
      <c r="L119" s="11" t="s">
        <v>410</v>
      </c>
      <c r="M119" s="11"/>
      <c r="N119" s="11" t="s">
        <v>68</v>
      </c>
    </row>
    <row r="120" customFormat="false" ht="30" hidden="false" customHeight="true" outlineLevel="0" collapsed="false">
      <c r="A120" s="10" t="n">
        <v>119</v>
      </c>
      <c r="B120" s="10" t="s">
        <v>12</v>
      </c>
      <c r="C120" s="10" t="s">
        <v>314</v>
      </c>
      <c r="D120" s="10" t="s">
        <v>411</v>
      </c>
      <c r="E120" s="10" t="s">
        <v>412</v>
      </c>
      <c r="F120" s="10" t="s">
        <v>62</v>
      </c>
      <c r="G120" s="12"/>
      <c r="H120" s="10"/>
      <c r="I120" s="10" t="s">
        <v>121</v>
      </c>
      <c r="J120" s="10" t="s">
        <v>145</v>
      </c>
      <c r="K120" s="10" t="s">
        <v>342</v>
      </c>
      <c r="L120" s="10" t="s">
        <v>413</v>
      </c>
      <c r="M120" s="10" t="s">
        <v>414</v>
      </c>
      <c r="N120" s="10" t="s">
        <v>68</v>
      </c>
    </row>
    <row r="121" customFormat="false" ht="30" hidden="false" customHeight="true" outlineLevel="0" collapsed="false">
      <c r="A121" s="11" t="n">
        <v>120</v>
      </c>
      <c r="B121" s="11" t="s">
        <v>12</v>
      </c>
      <c r="C121" s="11" t="s">
        <v>12</v>
      </c>
      <c r="D121" s="11" t="s">
        <v>415</v>
      </c>
      <c r="E121" s="11" t="s">
        <v>249</v>
      </c>
      <c r="F121" s="11" t="s">
        <v>62</v>
      </c>
      <c r="G121" s="13"/>
      <c r="H121" s="11"/>
      <c r="I121" s="11" t="s">
        <v>121</v>
      </c>
      <c r="J121" s="11" t="s">
        <v>145</v>
      </c>
      <c r="K121" s="11" t="s">
        <v>342</v>
      </c>
      <c r="L121" s="11" t="s">
        <v>416</v>
      </c>
      <c r="M121" s="11"/>
      <c r="N121" s="11" t="s">
        <v>68</v>
      </c>
    </row>
    <row r="122" customFormat="false" ht="30" hidden="false" customHeight="true" outlineLevel="0" collapsed="false">
      <c r="A122" s="10" t="n">
        <v>121</v>
      </c>
      <c r="B122" s="10" t="s">
        <v>12</v>
      </c>
      <c r="C122" s="10" t="s">
        <v>12</v>
      </c>
      <c r="D122" s="10" t="s">
        <v>417</v>
      </c>
      <c r="E122" s="10" t="s">
        <v>418</v>
      </c>
      <c r="F122" s="10" t="s">
        <v>62</v>
      </c>
      <c r="G122" s="12"/>
      <c r="H122" s="10"/>
      <c r="I122" s="10" t="s">
        <v>170</v>
      </c>
      <c r="J122" s="10" t="s">
        <v>145</v>
      </c>
      <c r="K122" s="10" t="s">
        <v>342</v>
      </c>
      <c r="L122" s="10" t="s">
        <v>419</v>
      </c>
      <c r="M122" s="10"/>
      <c r="N122" s="10" t="s">
        <v>68</v>
      </c>
    </row>
    <row r="123" customFormat="false" ht="30" hidden="false" customHeight="true" outlineLevel="0" collapsed="false">
      <c r="A123" s="11" t="n">
        <v>122</v>
      </c>
      <c r="B123" s="11" t="s">
        <v>12</v>
      </c>
      <c r="C123" s="11" t="s">
        <v>12</v>
      </c>
      <c r="D123" s="11" t="s">
        <v>263</v>
      </c>
      <c r="E123" s="11" t="s">
        <v>264</v>
      </c>
      <c r="F123" s="11" t="s">
        <v>62</v>
      </c>
      <c r="G123" s="13"/>
      <c r="H123" s="11"/>
      <c r="I123" s="11" t="s">
        <v>63</v>
      </c>
      <c r="J123" s="11" t="s">
        <v>145</v>
      </c>
      <c r="K123" s="11" t="s">
        <v>342</v>
      </c>
      <c r="L123" s="11" t="s">
        <v>420</v>
      </c>
      <c r="M123" s="11" t="s">
        <v>421</v>
      </c>
      <c r="N123" s="11" t="s">
        <v>68</v>
      </c>
    </row>
    <row r="124" customFormat="false" ht="30" hidden="false" customHeight="true" outlineLevel="0" collapsed="false">
      <c r="A124" s="10" t="n">
        <v>123</v>
      </c>
      <c r="B124" s="10" t="s">
        <v>12</v>
      </c>
      <c r="C124" s="10" t="s">
        <v>12</v>
      </c>
      <c r="D124" s="10" t="s">
        <v>422</v>
      </c>
      <c r="E124" s="10" t="s">
        <v>423</v>
      </c>
      <c r="F124" s="10" t="s">
        <v>62</v>
      </c>
      <c r="G124" s="12"/>
      <c r="H124" s="10"/>
      <c r="I124" s="10" t="s">
        <v>121</v>
      </c>
      <c r="J124" s="10" t="s">
        <v>145</v>
      </c>
      <c r="K124" s="10" t="s">
        <v>342</v>
      </c>
      <c r="L124" s="10" t="s">
        <v>424</v>
      </c>
      <c r="M124" s="10" t="s">
        <v>425</v>
      </c>
      <c r="N124" s="10" t="s">
        <v>68</v>
      </c>
    </row>
    <row r="125" customFormat="false" ht="30" hidden="false" customHeight="true" outlineLevel="0" collapsed="false">
      <c r="A125" s="11" t="n">
        <v>124</v>
      </c>
      <c r="B125" s="11" t="s">
        <v>12</v>
      </c>
      <c r="C125" s="11" t="s">
        <v>426</v>
      </c>
      <c r="D125" s="11" t="s">
        <v>427</v>
      </c>
      <c r="E125" s="11" t="s">
        <v>428</v>
      </c>
      <c r="F125" s="11" t="s">
        <v>62</v>
      </c>
      <c r="G125" s="13"/>
      <c r="H125" s="11"/>
      <c r="I125" s="11" t="s">
        <v>121</v>
      </c>
      <c r="J125" s="11" t="s">
        <v>145</v>
      </c>
      <c r="K125" s="11" t="s">
        <v>342</v>
      </c>
      <c r="L125" s="11" t="s">
        <v>429</v>
      </c>
      <c r="M125" s="11" t="s">
        <v>430</v>
      </c>
      <c r="N125" s="11" t="s">
        <v>68</v>
      </c>
    </row>
    <row r="126" customFormat="false" ht="30" hidden="false" customHeight="true" outlineLevel="0" collapsed="false">
      <c r="A126" s="10" t="n">
        <v>125</v>
      </c>
      <c r="B126" s="10" t="s">
        <v>12</v>
      </c>
      <c r="C126" s="10" t="s">
        <v>12</v>
      </c>
      <c r="D126" s="10" t="s">
        <v>431</v>
      </c>
      <c r="E126" s="10" t="s">
        <v>217</v>
      </c>
      <c r="F126" s="10" t="s">
        <v>62</v>
      </c>
      <c r="G126" s="12"/>
      <c r="H126" s="10"/>
      <c r="I126" s="10" t="s">
        <v>121</v>
      </c>
      <c r="J126" s="10" t="s">
        <v>145</v>
      </c>
      <c r="K126" s="10" t="s">
        <v>342</v>
      </c>
      <c r="L126" s="10" t="s">
        <v>432</v>
      </c>
      <c r="M126" s="10"/>
      <c r="N126" s="10" t="s">
        <v>68</v>
      </c>
    </row>
    <row r="127" customFormat="false" ht="30" hidden="false" customHeight="true" outlineLevel="0" collapsed="false">
      <c r="A127" s="11" t="n">
        <v>126</v>
      </c>
      <c r="B127" s="11" t="s">
        <v>12</v>
      </c>
      <c r="C127" s="11" t="s">
        <v>426</v>
      </c>
      <c r="D127" s="11" t="s">
        <v>433</v>
      </c>
      <c r="E127" s="11" t="s">
        <v>434</v>
      </c>
      <c r="F127" s="11" t="s">
        <v>62</v>
      </c>
      <c r="G127" s="13"/>
      <c r="H127" s="11"/>
      <c r="I127" s="11" t="s">
        <v>121</v>
      </c>
      <c r="J127" s="11" t="s">
        <v>145</v>
      </c>
      <c r="K127" s="11" t="s">
        <v>342</v>
      </c>
      <c r="L127" s="11" t="s">
        <v>435</v>
      </c>
      <c r="M127" s="11"/>
      <c r="N127" s="11" t="s">
        <v>68</v>
      </c>
    </row>
    <row r="128" customFormat="false" ht="30" hidden="false" customHeight="true" outlineLevel="0" collapsed="false">
      <c r="A128" s="10" t="n">
        <v>127</v>
      </c>
      <c r="B128" s="10" t="s">
        <v>12</v>
      </c>
      <c r="C128" s="10" t="s">
        <v>12</v>
      </c>
      <c r="D128" s="10" t="s">
        <v>436</v>
      </c>
      <c r="E128" s="10" t="s">
        <v>217</v>
      </c>
      <c r="F128" s="10" t="s">
        <v>62</v>
      </c>
      <c r="G128" s="12"/>
      <c r="H128" s="10"/>
      <c r="I128" s="10" t="s">
        <v>121</v>
      </c>
      <c r="J128" s="10" t="s">
        <v>145</v>
      </c>
      <c r="K128" s="10" t="s">
        <v>342</v>
      </c>
      <c r="L128" s="10" t="s">
        <v>437</v>
      </c>
      <c r="M128" s="10"/>
      <c r="N128" s="10" t="s">
        <v>68</v>
      </c>
    </row>
    <row r="129" customFormat="false" ht="30" hidden="false" customHeight="true" outlineLevel="0" collapsed="false">
      <c r="A129" s="11" t="n">
        <v>128</v>
      </c>
      <c r="B129" s="11" t="s">
        <v>12</v>
      </c>
      <c r="C129" s="11" t="s">
        <v>12</v>
      </c>
      <c r="D129" s="11" t="s">
        <v>438</v>
      </c>
      <c r="E129" s="11" t="s">
        <v>217</v>
      </c>
      <c r="F129" s="11" t="s">
        <v>62</v>
      </c>
      <c r="G129" s="13"/>
      <c r="H129" s="11"/>
      <c r="I129" s="11" t="s">
        <v>121</v>
      </c>
      <c r="J129" s="11" t="s">
        <v>145</v>
      </c>
      <c r="K129" s="11" t="s">
        <v>342</v>
      </c>
      <c r="L129" s="11" t="s">
        <v>439</v>
      </c>
      <c r="M129" s="11"/>
      <c r="N129" s="11" t="s">
        <v>68</v>
      </c>
    </row>
    <row r="130" customFormat="false" ht="30" hidden="false" customHeight="true" outlineLevel="0" collapsed="false">
      <c r="A130" s="10" t="n">
        <v>129</v>
      </c>
      <c r="B130" s="10" t="s">
        <v>12</v>
      </c>
      <c r="C130" s="10" t="s">
        <v>12</v>
      </c>
      <c r="D130" s="10" t="s">
        <v>440</v>
      </c>
      <c r="E130" s="10" t="s">
        <v>441</v>
      </c>
      <c r="F130" s="10" t="s">
        <v>62</v>
      </c>
      <c r="G130" s="12"/>
      <c r="H130" s="10"/>
      <c r="I130" s="10" t="s">
        <v>121</v>
      </c>
      <c r="J130" s="10" t="s">
        <v>145</v>
      </c>
      <c r="K130" s="10" t="s">
        <v>342</v>
      </c>
      <c r="L130" s="10" t="s">
        <v>442</v>
      </c>
      <c r="M130" s="10"/>
      <c r="N130" s="10" t="s">
        <v>68</v>
      </c>
    </row>
    <row r="131" customFormat="false" ht="30" hidden="false" customHeight="true" outlineLevel="0" collapsed="false">
      <c r="A131" s="11" t="n">
        <v>130</v>
      </c>
      <c r="B131" s="11" t="s">
        <v>12</v>
      </c>
      <c r="C131" s="11" t="s">
        <v>12</v>
      </c>
      <c r="D131" s="11" t="s">
        <v>443</v>
      </c>
      <c r="E131" s="11" t="s">
        <v>217</v>
      </c>
      <c r="F131" s="11" t="s">
        <v>62</v>
      </c>
      <c r="G131" s="13"/>
      <c r="H131" s="11"/>
      <c r="I131" s="11" t="s">
        <v>121</v>
      </c>
      <c r="J131" s="11" t="s">
        <v>145</v>
      </c>
      <c r="K131" s="11" t="s">
        <v>342</v>
      </c>
      <c r="L131" s="11" t="s">
        <v>444</v>
      </c>
      <c r="M131" s="11"/>
      <c r="N131" s="11" t="s">
        <v>68</v>
      </c>
    </row>
    <row r="132" customFormat="false" ht="30" hidden="false" customHeight="true" outlineLevel="0" collapsed="false">
      <c r="A132" s="10" t="n">
        <v>131</v>
      </c>
      <c r="B132" s="10" t="s">
        <v>12</v>
      </c>
      <c r="C132" s="10" t="s">
        <v>12</v>
      </c>
      <c r="D132" s="10" t="s">
        <v>445</v>
      </c>
      <c r="E132" s="10" t="s">
        <v>217</v>
      </c>
      <c r="F132" s="10" t="s">
        <v>62</v>
      </c>
      <c r="G132" s="12"/>
      <c r="H132" s="10"/>
      <c r="I132" s="10" t="s">
        <v>170</v>
      </c>
      <c r="J132" s="10" t="s">
        <v>145</v>
      </c>
      <c r="K132" s="10" t="s">
        <v>342</v>
      </c>
      <c r="L132" s="10" t="s">
        <v>446</v>
      </c>
      <c r="M132" s="10"/>
      <c r="N132" s="10" t="s">
        <v>68</v>
      </c>
    </row>
    <row r="133" customFormat="false" ht="30" hidden="false" customHeight="true" outlineLevel="0" collapsed="false">
      <c r="A133" s="11" t="n">
        <v>132</v>
      </c>
      <c r="B133" s="11" t="s">
        <v>12</v>
      </c>
      <c r="C133" s="11" t="s">
        <v>12</v>
      </c>
      <c r="D133" s="11" t="s">
        <v>447</v>
      </c>
      <c r="E133" s="11" t="s">
        <v>217</v>
      </c>
      <c r="F133" s="11" t="s">
        <v>62</v>
      </c>
      <c r="G133" s="13"/>
      <c r="H133" s="11"/>
      <c r="I133" s="11" t="s">
        <v>170</v>
      </c>
      <c r="J133" s="11" t="s">
        <v>145</v>
      </c>
      <c r="K133" s="11" t="s">
        <v>342</v>
      </c>
      <c r="L133" s="11" t="s">
        <v>448</v>
      </c>
      <c r="M133" s="11"/>
      <c r="N133" s="11" t="s">
        <v>68</v>
      </c>
    </row>
    <row r="134" customFormat="false" ht="30" hidden="false" customHeight="true" outlineLevel="0" collapsed="false">
      <c r="A134" s="10" t="n">
        <v>133</v>
      </c>
      <c r="B134" s="10" t="s">
        <v>12</v>
      </c>
      <c r="C134" s="10" t="s">
        <v>12</v>
      </c>
      <c r="D134" s="10" t="s">
        <v>449</v>
      </c>
      <c r="E134" s="10" t="s">
        <v>217</v>
      </c>
      <c r="F134" s="10" t="s">
        <v>62</v>
      </c>
      <c r="G134" s="12"/>
      <c r="H134" s="10"/>
      <c r="I134" s="10" t="s">
        <v>170</v>
      </c>
      <c r="J134" s="10" t="s">
        <v>145</v>
      </c>
      <c r="K134" s="10" t="s">
        <v>342</v>
      </c>
      <c r="L134" s="10" t="s">
        <v>450</v>
      </c>
      <c r="M134" s="10"/>
      <c r="N134" s="10" t="s">
        <v>68</v>
      </c>
    </row>
    <row r="135" customFormat="false" ht="30" hidden="false" customHeight="true" outlineLevel="0" collapsed="false">
      <c r="A135" s="11" t="n">
        <v>134</v>
      </c>
      <c r="B135" s="11" t="s">
        <v>12</v>
      </c>
      <c r="C135" s="11" t="s">
        <v>12</v>
      </c>
      <c r="D135" s="11" t="s">
        <v>451</v>
      </c>
      <c r="E135" s="11" t="s">
        <v>217</v>
      </c>
      <c r="F135" s="11" t="s">
        <v>62</v>
      </c>
      <c r="G135" s="13"/>
      <c r="H135" s="11"/>
      <c r="I135" s="11" t="s">
        <v>170</v>
      </c>
      <c r="J135" s="11" t="s">
        <v>145</v>
      </c>
      <c r="K135" s="11" t="s">
        <v>342</v>
      </c>
      <c r="L135" s="11" t="s">
        <v>452</v>
      </c>
      <c r="M135" s="11"/>
      <c r="N135" s="11" t="s">
        <v>68</v>
      </c>
    </row>
    <row r="136" customFormat="false" ht="30" hidden="false" customHeight="true" outlineLevel="0" collapsed="false">
      <c r="A136" s="10" t="n">
        <v>135</v>
      </c>
      <c r="B136" s="10" t="s">
        <v>12</v>
      </c>
      <c r="C136" s="10" t="s">
        <v>12</v>
      </c>
      <c r="D136" s="10" t="s">
        <v>453</v>
      </c>
      <c r="E136" s="10" t="s">
        <v>454</v>
      </c>
      <c r="F136" s="10" t="s">
        <v>62</v>
      </c>
      <c r="G136" s="12"/>
      <c r="H136" s="10"/>
      <c r="I136" s="10" t="s">
        <v>170</v>
      </c>
      <c r="J136" s="10" t="s">
        <v>145</v>
      </c>
      <c r="K136" s="10" t="s">
        <v>342</v>
      </c>
      <c r="L136" s="10" t="s">
        <v>455</v>
      </c>
      <c r="M136" s="10"/>
      <c r="N136" s="10" t="s">
        <v>68</v>
      </c>
    </row>
    <row r="137" customFormat="false" ht="30" hidden="false" customHeight="true" outlineLevel="0" collapsed="false">
      <c r="A137" s="11" t="n">
        <v>136</v>
      </c>
      <c r="B137" s="11" t="s">
        <v>12</v>
      </c>
      <c r="C137" s="11" t="s">
        <v>12</v>
      </c>
      <c r="D137" s="11" t="s">
        <v>456</v>
      </c>
      <c r="E137" s="11" t="s">
        <v>457</v>
      </c>
      <c r="F137" s="11" t="s">
        <v>62</v>
      </c>
      <c r="G137" s="13"/>
      <c r="H137" s="11"/>
      <c r="I137" s="11" t="s">
        <v>121</v>
      </c>
      <c r="J137" s="11" t="s">
        <v>145</v>
      </c>
      <c r="K137" s="11" t="s">
        <v>342</v>
      </c>
      <c r="L137" s="11" t="s">
        <v>458</v>
      </c>
      <c r="M137" s="11"/>
      <c r="N137" s="11" t="s">
        <v>68</v>
      </c>
    </row>
    <row r="138" customFormat="false" ht="30" hidden="false" customHeight="true" outlineLevel="0" collapsed="false">
      <c r="A138" s="10" t="n">
        <v>137</v>
      </c>
      <c r="B138" s="10" t="s">
        <v>12</v>
      </c>
      <c r="C138" s="10" t="s">
        <v>12</v>
      </c>
      <c r="D138" s="10" t="s">
        <v>459</v>
      </c>
      <c r="E138" s="10" t="s">
        <v>233</v>
      </c>
      <c r="F138" s="10" t="s">
        <v>62</v>
      </c>
      <c r="G138" s="12"/>
      <c r="H138" s="10"/>
      <c r="I138" s="10" t="s">
        <v>170</v>
      </c>
      <c r="J138" s="10" t="s">
        <v>145</v>
      </c>
      <c r="K138" s="10" t="s">
        <v>342</v>
      </c>
      <c r="L138" s="10" t="s">
        <v>460</v>
      </c>
      <c r="M138" s="10"/>
      <c r="N138" s="10" t="s">
        <v>68</v>
      </c>
    </row>
    <row r="139" customFormat="false" ht="30" hidden="false" customHeight="true" outlineLevel="0" collapsed="false">
      <c r="A139" s="11" t="n">
        <v>138</v>
      </c>
      <c r="B139" s="11" t="s">
        <v>12</v>
      </c>
      <c r="C139" s="11" t="s">
        <v>461</v>
      </c>
      <c r="D139" s="11" t="s">
        <v>462</v>
      </c>
      <c r="E139" s="11" t="s">
        <v>176</v>
      </c>
      <c r="F139" s="11" t="s">
        <v>62</v>
      </c>
      <c r="G139" s="13"/>
      <c r="H139" s="11"/>
      <c r="I139" s="11" t="s">
        <v>121</v>
      </c>
      <c r="J139" s="11" t="s">
        <v>145</v>
      </c>
      <c r="K139" s="11" t="s">
        <v>463</v>
      </c>
      <c r="L139" s="11" t="s">
        <v>464</v>
      </c>
      <c r="M139" s="11"/>
      <c r="N139" s="11" t="s">
        <v>68</v>
      </c>
    </row>
    <row r="140" customFormat="false" ht="30" hidden="false" customHeight="true" outlineLevel="0" collapsed="false">
      <c r="A140" s="10" t="n">
        <v>139</v>
      </c>
      <c r="B140" s="10" t="s">
        <v>12</v>
      </c>
      <c r="C140" s="10" t="s">
        <v>461</v>
      </c>
      <c r="D140" s="10" t="s">
        <v>465</v>
      </c>
      <c r="E140" s="10" t="s">
        <v>282</v>
      </c>
      <c r="F140" s="10" t="s">
        <v>62</v>
      </c>
      <c r="G140" s="12"/>
      <c r="H140" s="10"/>
      <c r="I140" s="10" t="s">
        <v>121</v>
      </c>
      <c r="J140" s="10" t="s">
        <v>145</v>
      </c>
      <c r="K140" s="10" t="s">
        <v>463</v>
      </c>
      <c r="L140" s="10" t="s">
        <v>466</v>
      </c>
      <c r="M140" s="10"/>
      <c r="N140" s="10" t="s">
        <v>68</v>
      </c>
    </row>
    <row r="141" customFormat="false" ht="30" hidden="false" customHeight="true" outlineLevel="0" collapsed="false">
      <c r="A141" s="11" t="n">
        <v>140</v>
      </c>
      <c r="B141" s="11" t="s">
        <v>12</v>
      </c>
      <c r="C141" s="11" t="s">
        <v>461</v>
      </c>
      <c r="D141" s="11" t="s">
        <v>467</v>
      </c>
      <c r="E141" s="11" t="s">
        <v>107</v>
      </c>
      <c r="F141" s="11" t="s">
        <v>62</v>
      </c>
      <c r="G141" s="13"/>
      <c r="H141" s="11"/>
      <c r="I141" s="11" t="s">
        <v>121</v>
      </c>
      <c r="J141" s="11" t="s">
        <v>145</v>
      </c>
      <c r="K141" s="11" t="s">
        <v>463</v>
      </c>
      <c r="L141" s="11" t="s">
        <v>468</v>
      </c>
      <c r="M141" s="11"/>
      <c r="N141" s="11" t="s">
        <v>68</v>
      </c>
    </row>
    <row r="142" customFormat="false" ht="30" hidden="false" customHeight="true" outlineLevel="0" collapsed="false">
      <c r="A142" s="10" t="n">
        <v>141</v>
      </c>
      <c r="B142" s="10" t="s">
        <v>12</v>
      </c>
      <c r="C142" s="10" t="s">
        <v>461</v>
      </c>
      <c r="D142" s="10" t="s">
        <v>469</v>
      </c>
      <c r="E142" s="10" t="s">
        <v>470</v>
      </c>
      <c r="F142" s="10" t="s">
        <v>62</v>
      </c>
      <c r="G142" s="12"/>
      <c r="H142" s="10"/>
      <c r="I142" s="10" t="s">
        <v>121</v>
      </c>
      <c r="J142" s="10" t="s">
        <v>145</v>
      </c>
      <c r="K142" s="10" t="s">
        <v>463</v>
      </c>
      <c r="L142" s="10" t="s">
        <v>471</v>
      </c>
      <c r="M142" s="10"/>
      <c r="N142" s="10" t="s">
        <v>68</v>
      </c>
    </row>
    <row r="143" customFormat="false" ht="30" hidden="false" customHeight="true" outlineLevel="0" collapsed="false">
      <c r="A143" s="11" t="n">
        <v>142</v>
      </c>
      <c r="B143" s="11" t="s">
        <v>12</v>
      </c>
      <c r="C143" s="11" t="s">
        <v>461</v>
      </c>
      <c r="D143" s="11" t="s">
        <v>472</v>
      </c>
      <c r="E143" s="11" t="s">
        <v>470</v>
      </c>
      <c r="F143" s="11" t="s">
        <v>62</v>
      </c>
      <c r="G143" s="13"/>
      <c r="H143" s="11"/>
      <c r="I143" s="11" t="s">
        <v>121</v>
      </c>
      <c r="J143" s="11" t="s">
        <v>145</v>
      </c>
      <c r="K143" s="11" t="s">
        <v>463</v>
      </c>
      <c r="L143" s="11" t="s">
        <v>473</v>
      </c>
      <c r="M143" s="11"/>
      <c r="N143" s="11" t="s">
        <v>68</v>
      </c>
    </row>
    <row r="144" customFormat="false" ht="30" hidden="false" customHeight="true" outlineLevel="0" collapsed="false">
      <c r="A144" s="10" t="n">
        <v>143</v>
      </c>
      <c r="B144" s="10" t="s">
        <v>12</v>
      </c>
      <c r="C144" s="10" t="s">
        <v>461</v>
      </c>
      <c r="D144" s="10" t="s">
        <v>474</v>
      </c>
      <c r="E144" s="10" t="s">
        <v>475</v>
      </c>
      <c r="F144" s="10" t="s">
        <v>62</v>
      </c>
      <c r="G144" s="12"/>
      <c r="H144" s="10"/>
      <c r="I144" s="10" t="s">
        <v>121</v>
      </c>
      <c r="J144" s="10" t="s">
        <v>145</v>
      </c>
      <c r="K144" s="10" t="s">
        <v>463</v>
      </c>
      <c r="L144" s="10" t="s">
        <v>476</v>
      </c>
      <c r="M144" s="10"/>
      <c r="N144" s="10" t="s">
        <v>68</v>
      </c>
    </row>
    <row r="145" customFormat="false" ht="30" hidden="false" customHeight="true" outlineLevel="0" collapsed="false">
      <c r="A145" s="11" t="n">
        <v>144</v>
      </c>
      <c r="B145" s="11" t="s">
        <v>12</v>
      </c>
      <c r="C145" s="11" t="s">
        <v>461</v>
      </c>
      <c r="D145" s="11" t="s">
        <v>477</v>
      </c>
      <c r="E145" s="11" t="s">
        <v>475</v>
      </c>
      <c r="F145" s="11" t="s">
        <v>62</v>
      </c>
      <c r="G145" s="13"/>
      <c r="H145" s="11"/>
      <c r="I145" s="11" t="s">
        <v>121</v>
      </c>
      <c r="J145" s="11" t="s">
        <v>145</v>
      </c>
      <c r="K145" s="11" t="s">
        <v>463</v>
      </c>
      <c r="L145" s="11" t="s">
        <v>478</v>
      </c>
      <c r="M145" s="11"/>
      <c r="N145" s="11" t="s">
        <v>68</v>
      </c>
    </row>
    <row r="146" customFormat="false" ht="30" hidden="false" customHeight="true" outlineLevel="0" collapsed="false">
      <c r="A146" s="10" t="n">
        <v>145</v>
      </c>
      <c r="B146" s="10" t="s">
        <v>12</v>
      </c>
      <c r="C146" s="10" t="s">
        <v>461</v>
      </c>
      <c r="D146" s="10" t="s">
        <v>479</v>
      </c>
      <c r="E146" s="10" t="s">
        <v>144</v>
      </c>
      <c r="F146" s="10" t="s">
        <v>62</v>
      </c>
      <c r="G146" s="12"/>
      <c r="H146" s="10"/>
      <c r="I146" s="10" t="s">
        <v>121</v>
      </c>
      <c r="J146" s="10" t="s">
        <v>145</v>
      </c>
      <c r="K146" s="10" t="s">
        <v>463</v>
      </c>
      <c r="L146" s="10" t="s">
        <v>480</v>
      </c>
      <c r="M146" s="10"/>
      <c r="N146" s="10" t="s">
        <v>68</v>
      </c>
    </row>
    <row r="147" customFormat="false" ht="30" hidden="false" customHeight="true" outlineLevel="0" collapsed="false">
      <c r="A147" s="11" t="n">
        <v>146</v>
      </c>
      <c r="B147" s="11" t="s">
        <v>12</v>
      </c>
      <c r="C147" s="11" t="s">
        <v>461</v>
      </c>
      <c r="D147" s="11" t="s">
        <v>481</v>
      </c>
      <c r="E147" s="11" t="s">
        <v>285</v>
      </c>
      <c r="F147" s="11" t="s">
        <v>62</v>
      </c>
      <c r="G147" s="13"/>
      <c r="H147" s="11"/>
      <c r="I147" s="11" t="s">
        <v>121</v>
      </c>
      <c r="J147" s="11" t="s">
        <v>145</v>
      </c>
      <c r="K147" s="11" t="s">
        <v>463</v>
      </c>
      <c r="L147" s="11" t="s">
        <v>482</v>
      </c>
      <c r="M147" s="11"/>
      <c r="N147" s="11" t="s">
        <v>68</v>
      </c>
    </row>
    <row r="148" customFormat="false" ht="30" hidden="false" customHeight="true" outlineLevel="0" collapsed="false">
      <c r="A148" s="10" t="n">
        <v>147</v>
      </c>
      <c r="B148" s="10" t="s">
        <v>12</v>
      </c>
      <c r="C148" s="10" t="s">
        <v>461</v>
      </c>
      <c r="D148" s="10" t="s">
        <v>483</v>
      </c>
      <c r="E148" s="10" t="s">
        <v>282</v>
      </c>
      <c r="F148" s="10" t="s">
        <v>62</v>
      </c>
      <c r="G148" s="12"/>
      <c r="H148" s="10"/>
      <c r="I148" s="10" t="s">
        <v>121</v>
      </c>
      <c r="J148" s="10" t="s">
        <v>145</v>
      </c>
      <c r="K148" s="10" t="s">
        <v>463</v>
      </c>
      <c r="L148" s="10" t="s">
        <v>484</v>
      </c>
      <c r="M148" s="10"/>
      <c r="N148" s="10" t="s">
        <v>68</v>
      </c>
    </row>
    <row r="149" customFormat="false" ht="30" hidden="false" customHeight="true" outlineLevel="0" collapsed="false">
      <c r="A149" s="11" t="n">
        <v>148</v>
      </c>
      <c r="B149" s="11" t="s">
        <v>12</v>
      </c>
      <c r="C149" s="11" t="s">
        <v>461</v>
      </c>
      <c r="D149" s="11" t="s">
        <v>485</v>
      </c>
      <c r="E149" s="11" t="s">
        <v>176</v>
      </c>
      <c r="F149" s="11" t="s">
        <v>62</v>
      </c>
      <c r="G149" s="13"/>
      <c r="H149" s="11"/>
      <c r="I149" s="11" t="s">
        <v>121</v>
      </c>
      <c r="J149" s="11" t="s">
        <v>145</v>
      </c>
      <c r="K149" s="11" t="s">
        <v>463</v>
      </c>
      <c r="L149" s="11" t="s">
        <v>486</v>
      </c>
      <c r="M149" s="11"/>
      <c r="N149" s="11" t="s">
        <v>68</v>
      </c>
    </row>
    <row r="150" customFormat="false" ht="30" hidden="false" customHeight="true" outlineLevel="0" collapsed="false">
      <c r="A150" s="10" t="n">
        <v>149</v>
      </c>
      <c r="B150" s="10" t="s">
        <v>12</v>
      </c>
      <c r="C150" s="10" t="s">
        <v>461</v>
      </c>
      <c r="D150" s="10" t="s">
        <v>487</v>
      </c>
      <c r="E150" s="10" t="s">
        <v>176</v>
      </c>
      <c r="F150" s="10" t="s">
        <v>62</v>
      </c>
      <c r="G150" s="12"/>
      <c r="H150" s="10"/>
      <c r="I150" s="10" t="s">
        <v>121</v>
      </c>
      <c r="J150" s="10" t="s">
        <v>145</v>
      </c>
      <c r="K150" s="10" t="s">
        <v>463</v>
      </c>
      <c r="L150" s="10" t="s">
        <v>488</v>
      </c>
      <c r="M150" s="10"/>
      <c r="N150" s="10" t="s">
        <v>68</v>
      </c>
    </row>
    <row r="151" customFormat="false" ht="30" hidden="false" customHeight="true" outlineLevel="0" collapsed="false">
      <c r="A151" s="11" t="n">
        <v>150</v>
      </c>
      <c r="B151" s="11" t="s">
        <v>12</v>
      </c>
      <c r="C151" s="11" t="s">
        <v>461</v>
      </c>
      <c r="D151" s="11" t="s">
        <v>379</v>
      </c>
      <c r="E151" s="11" t="s">
        <v>380</v>
      </c>
      <c r="F151" s="11" t="s">
        <v>62</v>
      </c>
      <c r="G151" s="13"/>
      <c r="H151" s="11"/>
      <c r="I151" s="11" t="s">
        <v>63</v>
      </c>
      <c r="J151" s="11" t="s">
        <v>145</v>
      </c>
      <c r="K151" s="11" t="s">
        <v>463</v>
      </c>
      <c r="L151" s="11" t="s">
        <v>489</v>
      </c>
      <c r="M151" s="11"/>
      <c r="N151" s="11" t="s">
        <v>68</v>
      </c>
    </row>
    <row r="152" customFormat="false" ht="30" hidden="false" customHeight="true" outlineLevel="0" collapsed="false">
      <c r="A152" s="10" t="n">
        <v>151</v>
      </c>
      <c r="B152" s="10" t="s">
        <v>12</v>
      </c>
      <c r="C152" s="10" t="s">
        <v>461</v>
      </c>
      <c r="D152" s="10" t="s">
        <v>490</v>
      </c>
      <c r="E152" s="10" t="s">
        <v>491</v>
      </c>
      <c r="F152" s="10" t="s">
        <v>62</v>
      </c>
      <c r="G152" s="12"/>
      <c r="H152" s="10"/>
      <c r="I152" s="10" t="s">
        <v>63</v>
      </c>
      <c r="J152" s="10" t="s">
        <v>145</v>
      </c>
      <c r="K152" s="10" t="s">
        <v>463</v>
      </c>
      <c r="L152" s="10" t="s">
        <v>492</v>
      </c>
      <c r="M152" s="10"/>
      <c r="N152" s="10" t="s">
        <v>68</v>
      </c>
    </row>
    <row r="153" customFormat="false" ht="30" hidden="false" customHeight="true" outlineLevel="0" collapsed="false">
      <c r="A153" s="11" t="n">
        <v>152</v>
      </c>
      <c r="B153" s="11" t="s">
        <v>12</v>
      </c>
      <c r="C153" s="11" t="s">
        <v>461</v>
      </c>
      <c r="D153" s="11" t="s">
        <v>493</v>
      </c>
      <c r="E153" s="11" t="s">
        <v>494</v>
      </c>
      <c r="F153" s="11" t="s">
        <v>62</v>
      </c>
      <c r="G153" s="13"/>
      <c r="H153" s="11"/>
      <c r="I153" s="11" t="s">
        <v>63</v>
      </c>
      <c r="J153" s="11" t="s">
        <v>145</v>
      </c>
      <c r="K153" s="11" t="s">
        <v>463</v>
      </c>
      <c r="L153" s="11" t="s">
        <v>495</v>
      </c>
      <c r="M153" s="11"/>
      <c r="N153" s="11" t="s">
        <v>68</v>
      </c>
    </row>
    <row r="154" customFormat="false" ht="30" hidden="false" customHeight="true" outlineLevel="0" collapsed="false">
      <c r="A154" s="10" t="n">
        <v>153</v>
      </c>
      <c r="B154" s="10" t="s">
        <v>12</v>
      </c>
      <c r="C154" s="10" t="s">
        <v>461</v>
      </c>
      <c r="D154" s="10" t="s">
        <v>496</v>
      </c>
      <c r="E154" s="10" t="s">
        <v>144</v>
      </c>
      <c r="F154" s="10" t="s">
        <v>62</v>
      </c>
      <c r="G154" s="12"/>
      <c r="H154" s="10"/>
      <c r="I154" s="10" t="s">
        <v>121</v>
      </c>
      <c r="J154" s="10" t="s">
        <v>145</v>
      </c>
      <c r="K154" s="10" t="s">
        <v>463</v>
      </c>
      <c r="L154" s="10" t="s">
        <v>497</v>
      </c>
      <c r="M154" s="10"/>
      <c r="N154" s="10" t="s">
        <v>68</v>
      </c>
    </row>
    <row r="155" customFormat="false" ht="30" hidden="false" customHeight="true" outlineLevel="0" collapsed="false">
      <c r="A155" s="11" t="n">
        <v>154</v>
      </c>
      <c r="B155" s="11" t="s">
        <v>12</v>
      </c>
      <c r="C155" s="11" t="s">
        <v>461</v>
      </c>
      <c r="D155" s="11" t="s">
        <v>498</v>
      </c>
      <c r="E155" s="11" t="s">
        <v>499</v>
      </c>
      <c r="F155" s="11" t="s">
        <v>62</v>
      </c>
      <c r="G155" s="13"/>
      <c r="H155" s="11"/>
      <c r="I155" s="11" t="s">
        <v>121</v>
      </c>
      <c r="J155" s="11" t="s">
        <v>145</v>
      </c>
      <c r="K155" s="11" t="s">
        <v>463</v>
      </c>
      <c r="L155" s="11" t="s">
        <v>500</v>
      </c>
      <c r="M155" s="11"/>
      <c r="N155" s="11" t="s">
        <v>68</v>
      </c>
    </row>
    <row r="156" customFormat="false" ht="30" hidden="false" customHeight="true" outlineLevel="0" collapsed="false">
      <c r="A156" s="10" t="n">
        <v>155</v>
      </c>
      <c r="B156" s="10" t="s">
        <v>12</v>
      </c>
      <c r="C156" s="10" t="s">
        <v>461</v>
      </c>
      <c r="D156" s="10" t="s">
        <v>501</v>
      </c>
      <c r="E156" s="10" t="s">
        <v>502</v>
      </c>
      <c r="F156" s="10" t="s">
        <v>62</v>
      </c>
      <c r="G156" s="12"/>
      <c r="H156" s="10"/>
      <c r="I156" s="10" t="s">
        <v>121</v>
      </c>
      <c r="J156" s="10" t="s">
        <v>145</v>
      </c>
      <c r="K156" s="10" t="s">
        <v>463</v>
      </c>
      <c r="L156" s="10" t="s">
        <v>503</v>
      </c>
      <c r="M156" s="10"/>
      <c r="N156" s="10" t="s">
        <v>68</v>
      </c>
    </row>
    <row r="157" customFormat="false" ht="30" hidden="false" customHeight="true" outlineLevel="0" collapsed="false">
      <c r="A157" s="11" t="n">
        <v>156</v>
      </c>
      <c r="B157" s="11" t="s">
        <v>12</v>
      </c>
      <c r="C157" s="11" t="s">
        <v>461</v>
      </c>
      <c r="D157" s="11" t="s">
        <v>504</v>
      </c>
      <c r="E157" s="11" t="s">
        <v>403</v>
      </c>
      <c r="F157" s="11" t="s">
        <v>62</v>
      </c>
      <c r="G157" s="13"/>
      <c r="H157" s="11"/>
      <c r="I157" s="11" t="s">
        <v>121</v>
      </c>
      <c r="J157" s="11" t="s">
        <v>145</v>
      </c>
      <c r="K157" s="11" t="s">
        <v>463</v>
      </c>
      <c r="L157" s="11" t="s">
        <v>505</v>
      </c>
      <c r="M157" s="11"/>
      <c r="N157" s="11" t="s">
        <v>68</v>
      </c>
    </row>
    <row r="158" customFormat="false" ht="30" hidden="false" customHeight="true" outlineLevel="0" collapsed="false">
      <c r="A158" s="10" t="n">
        <v>157</v>
      </c>
      <c r="B158" s="10" t="s">
        <v>12</v>
      </c>
      <c r="C158" s="10" t="s">
        <v>461</v>
      </c>
      <c r="D158" s="10" t="s">
        <v>506</v>
      </c>
      <c r="E158" s="10" t="s">
        <v>507</v>
      </c>
      <c r="F158" s="10" t="s">
        <v>62</v>
      </c>
      <c r="G158" s="12"/>
      <c r="H158" s="10"/>
      <c r="I158" s="10" t="s">
        <v>121</v>
      </c>
      <c r="J158" s="10" t="s">
        <v>145</v>
      </c>
      <c r="K158" s="10" t="s">
        <v>463</v>
      </c>
      <c r="L158" s="10" t="s">
        <v>508</v>
      </c>
      <c r="M158" s="10"/>
      <c r="N158" s="10" t="s">
        <v>68</v>
      </c>
    </row>
    <row r="159" customFormat="false" ht="30" hidden="false" customHeight="true" outlineLevel="0" collapsed="false">
      <c r="A159" s="11" t="n">
        <v>158</v>
      </c>
      <c r="B159" s="11" t="s">
        <v>12</v>
      </c>
      <c r="C159" s="11" t="s">
        <v>461</v>
      </c>
      <c r="D159" s="11" t="s">
        <v>509</v>
      </c>
      <c r="E159" s="11" t="s">
        <v>403</v>
      </c>
      <c r="F159" s="11" t="s">
        <v>62</v>
      </c>
      <c r="G159" s="13"/>
      <c r="H159" s="11"/>
      <c r="I159" s="11" t="s">
        <v>121</v>
      </c>
      <c r="J159" s="11" t="s">
        <v>145</v>
      </c>
      <c r="K159" s="11" t="s">
        <v>463</v>
      </c>
      <c r="L159" s="11" t="s">
        <v>510</v>
      </c>
      <c r="M159" s="11"/>
      <c r="N159" s="11" t="s">
        <v>68</v>
      </c>
    </row>
    <row r="160" customFormat="false" ht="30" hidden="false" customHeight="true" outlineLevel="0" collapsed="false">
      <c r="A160" s="10" t="n">
        <v>159</v>
      </c>
      <c r="B160" s="10" t="s">
        <v>12</v>
      </c>
      <c r="C160" s="10" t="s">
        <v>461</v>
      </c>
      <c r="D160" s="10" t="s">
        <v>511</v>
      </c>
      <c r="E160" s="10" t="s">
        <v>418</v>
      </c>
      <c r="F160" s="10" t="s">
        <v>62</v>
      </c>
      <c r="G160" s="12"/>
      <c r="H160" s="10"/>
      <c r="I160" s="10" t="s">
        <v>121</v>
      </c>
      <c r="J160" s="10" t="s">
        <v>145</v>
      </c>
      <c r="K160" s="10" t="s">
        <v>463</v>
      </c>
      <c r="L160" s="10" t="s">
        <v>512</v>
      </c>
      <c r="M160" s="10"/>
      <c r="N160" s="10" t="s">
        <v>68</v>
      </c>
    </row>
    <row r="161" customFormat="false" ht="30" hidden="false" customHeight="true" outlineLevel="0" collapsed="false">
      <c r="A161" s="11" t="n">
        <v>160</v>
      </c>
      <c r="B161" s="11" t="s">
        <v>12</v>
      </c>
      <c r="C161" s="11" t="s">
        <v>461</v>
      </c>
      <c r="D161" s="11" t="s">
        <v>513</v>
      </c>
      <c r="E161" s="11" t="s">
        <v>249</v>
      </c>
      <c r="F161" s="11" t="s">
        <v>62</v>
      </c>
      <c r="G161" s="13"/>
      <c r="H161" s="11"/>
      <c r="I161" s="11" t="s">
        <v>170</v>
      </c>
      <c r="J161" s="11" t="s">
        <v>145</v>
      </c>
      <c r="K161" s="11" t="s">
        <v>463</v>
      </c>
      <c r="L161" s="11" t="s">
        <v>514</v>
      </c>
      <c r="M161" s="11"/>
      <c r="N161" s="11" t="s">
        <v>68</v>
      </c>
    </row>
    <row r="162" customFormat="false" ht="30" hidden="false" customHeight="true" outlineLevel="0" collapsed="false">
      <c r="A162" s="10" t="n">
        <v>161</v>
      </c>
      <c r="B162" s="10" t="s">
        <v>12</v>
      </c>
      <c r="C162" s="10" t="s">
        <v>461</v>
      </c>
      <c r="D162" s="10" t="s">
        <v>515</v>
      </c>
      <c r="E162" s="10" t="s">
        <v>377</v>
      </c>
      <c r="F162" s="10" t="s">
        <v>62</v>
      </c>
      <c r="G162" s="12"/>
      <c r="H162" s="10"/>
      <c r="I162" s="10" t="s">
        <v>121</v>
      </c>
      <c r="J162" s="10" t="s">
        <v>145</v>
      </c>
      <c r="K162" s="10" t="s">
        <v>463</v>
      </c>
      <c r="L162" s="10" t="s">
        <v>516</v>
      </c>
      <c r="M162" s="10"/>
      <c r="N162" s="10" t="s">
        <v>68</v>
      </c>
    </row>
    <row r="163" customFormat="false" ht="30" hidden="false" customHeight="true" outlineLevel="0" collapsed="false">
      <c r="A163" s="11" t="n">
        <v>162</v>
      </c>
      <c r="B163" s="11" t="s">
        <v>12</v>
      </c>
      <c r="C163" s="11" t="s">
        <v>461</v>
      </c>
      <c r="D163" s="11" t="s">
        <v>517</v>
      </c>
      <c r="E163" s="11" t="s">
        <v>205</v>
      </c>
      <c r="F163" s="11" t="s">
        <v>62</v>
      </c>
      <c r="G163" s="13"/>
      <c r="H163" s="11"/>
      <c r="I163" s="11" t="s">
        <v>121</v>
      </c>
      <c r="J163" s="11" t="s">
        <v>145</v>
      </c>
      <c r="K163" s="11" t="s">
        <v>463</v>
      </c>
      <c r="L163" s="11" t="s">
        <v>518</v>
      </c>
      <c r="M163" s="11"/>
      <c r="N163" s="11" t="s">
        <v>68</v>
      </c>
    </row>
    <row r="164" customFormat="false" ht="30" hidden="false" customHeight="true" outlineLevel="0" collapsed="false">
      <c r="A164" s="10" t="n">
        <v>163</v>
      </c>
      <c r="B164" s="10" t="s">
        <v>12</v>
      </c>
      <c r="C164" s="10" t="s">
        <v>461</v>
      </c>
      <c r="D164" s="10" t="s">
        <v>519</v>
      </c>
      <c r="E164" s="10" t="s">
        <v>387</v>
      </c>
      <c r="F164" s="10" t="s">
        <v>62</v>
      </c>
      <c r="G164" s="12"/>
      <c r="H164" s="10"/>
      <c r="I164" s="10" t="s">
        <v>63</v>
      </c>
      <c r="J164" s="10" t="s">
        <v>145</v>
      </c>
      <c r="K164" s="10" t="s">
        <v>463</v>
      </c>
      <c r="L164" s="10" t="s">
        <v>520</v>
      </c>
      <c r="M164" s="10"/>
      <c r="N164" s="10" t="s">
        <v>68</v>
      </c>
    </row>
    <row r="165" customFormat="false" ht="30" hidden="false" customHeight="true" outlineLevel="0" collapsed="false">
      <c r="A165" s="11" t="n">
        <v>164</v>
      </c>
      <c r="B165" s="11" t="s">
        <v>12</v>
      </c>
      <c r="C165" s="11" t="s">
        <v>461</v>
      </c>
      <c r="D165" s="11" t="s">
        <v>521</v>
      </c>
      <c r="E165" s="11" t="s">
        <v>522</v>
      </c>
      <c r="F165" s="11" t="s">
        <v>62</v>
      </c>
      <c r="G165" s="13"/>
      <c r="H165" s="11"/>
      <c r="I165" s="11" t="s">
        <v>121</v>
      </c>
      <c r="J165" s="11" t="s">
        <v>145</v>
      </c>
      <c r="K165" s="11" t="s">
        <v>463</v>
      </c>
      <c r="L165" s="11" t="s">
        <v>523</v>
      </c>
      <c r="M165" s="11"/>
      <c r="N165" s="11" t="s">
        <v>68</v>
      </c>
    </row>
    <row r="166" customFormat="false" ht="30" hidden="false" customHeight="true" outlineLevel="0" collapsed="false">
      <c r="A166" s="10" t="n">
        <v>165</v>
      </c>
      <c r="B166" s="10" t="s">
        <v>12</v>
      </c>
      <c r="C166" s="10" t="s">
        <v>461</v>
      </c>
      <c r="D166" s="10" t="s">
        <v>524</v>
      </c>
      <c r="E166" s="10" t="s">
        <v>525</v>
      </c>
      <c r="F166" s="10" t="s">
        <v>62</v>
      </c>
      <c r="G166" s="12"/>
      <c r="H166" s="10"/>
      <c r="I166" s="10" t="s">
        <v>121</v>
      </c>
      <c r="J166" s="10" t="s">
        <v>145</v>
      </c>
      <c r="K166" s="10" t="s">
        <v>463</v>
      </c>
      <c r="L166" s="10" t="s">
        <v>526</v>
      </c>
      <c r="M166" s="10"/>
      <c r="N166" s="10" t="s">
        <v>68</v>
      </c>
    </row>
    <row r="167" customFormat="false" ht="30" hidden="false" customHeight="true" outlineLevel="0" collapsed="false">
      <c r="A167" s="11" t="n">
        <v>166</v>
      </c>
      <c r="B167" s="11" t="s">
        <v>12</v>
      </c>
      <c r="C167" s="11" t="s">
        <v>461</v>
      </c>
      <c r="D167" s="11" t="s">
        <v>527</v>
      </c>
      <c r="E167" s="11" t="s">
        <v>528</v>
      </c>
      <c r="F167" s="11" t="s">
        <v>62</v>
      </c>
      <c r="G167" s="13"/>
      <c r="H167" s="11"/>
      <c r="I167" s="11" t="s">
        <v>121</v>
      </c>
      <c r="J167" s="11" t="s">
        <v>145</v>
      </c>
      <c r="K167" s="11" t="s">
        <v>463</v>
      </c>
      <c r="L167" s="11" t="s">
        <v>529</v>
      </c>
      <c r="M167" s="11"/>
      <c r="N167" s="11" t="s">
        <v>68</v>
      </c>
    </row>
    <row r="168" customFormat="false" ht="30" hidden="false" customHeight="true" outlineLevel="0" collapsed="false">
      <c r="A168" s="10" t="n">
        <v>167</v>
      </c>
      <c r="B168" s="10" t="s">
        <v>12</v>
      </c>
      <c r="C168" s="10" t="s">
        <v>530</v>
      </c>
      <c r="D168" s="10" t="s">
        <v>531</v>
      </c>
      <c r="E168" s="10" t="s">
        <v>120</v>
      </c>
      <c r="F168" s="10" t="s">
        <v>62</v>
      </c>
      <c r="G168" s="12"/>
      <c r="H168" s="10"/>
      <c r="I168" s="10" t="s">
        <v>121</v>
      </c>
      <c r="J168" s="10" t="s">
        <v>145</v>
      </c>
      <c r="K168" s="10" t="s">
        <v>532</v>
      </c>
      <c r="L168" s="10" t="s">
        <v>533</v>
      </c>
      <c r="M168" s="10"/>
      <c r="N168" s="10" t="s">
        <v>68</v>
      </c>
    </row>
    <row r="169" customFormat="false" ht="30" hidden="false" customHeight="true" outlineLevel="0" collapsed="false">
      <c r="A169" s="11" t="n">
        <v>168</v>
      </c>
      <c r="B169" s="11" t="s">
        <v>12</v>
      </c>
      <c r="C169" s="11" t="s">
        <v>530</v>
      </c>
      <c r="D169" s="11" t="s">
        <v>534</v>
      </c>
      <c r="E169" s="11" t="s">
        <v>535</v>
      </c>
      <c r="F169" s="11" t="s">
        <v>62</v>
      </c>
      <c r="G169" s="13"/>
      <c r="H169" s="11"/>
      <c r="I169" s="11" t="s">
        <v>121</v>
      </c>
      <c r="J169" s="11" t="s">
        <v>145</v>
      </c>
      <c r="K169" s="11" t="s">
        <v>532</v>
      </c>
      <c r="L169" s="11" t="s">
        <v>536</v>
      </c>
      <c r="M169" s="11"/>
      <c r="N169" s="11" t="s">
        <v>68</v>
      </c>
    </row>
    <row r="170" customFormat="false" ht="30" hidden="false" customHeight="true" outlineLevel="0" collapsed="false">
      <c r="A170" s="10" t="n">
        <v>169</v>
      </c>
      <c r="B170" s="10" t="s">
        <v>12</v>
      </c>
      <c r="C170" s="10" t="s">
        <v>530</v>
      </c>
      <c r="D170" s="10" t="s">
        <v>537</v>
      </c>
      <c r="E170" s="10" t="s">
        <v>285</v>
      </c>
      <c r="F170" s="10" t="s">
        <v>62</v>
      </c>
      <c r="G170" s="12"/>
      <c r="H170" s="10"/>
      <c r="I170" s="10" t="s">
        <v>121</v>
      </c>
      <c r="J170" s="10" t="s">
        <v>145</v>
      </c>
      <c r="K170" s="10" t="s">
        <v>532</v>
      </c>
      <c r="L170" s="10" t="s">
        <v>538</v>
      </c>
      <c r="M170" s="10"/>
      <c r="N170" s="10" t="s">
        <v>68</v>
      </c>
    </row>
    <row r="171" customFormat="false" ht="30" hidden="false" customHeight="true" outlineLevel="0" collapsed="false">
      <c r="A171" s="11" t="n">
        <v>170</v>
      </c>
      <c r="B171" s="11" t="s">
        <v>12</v>
      </c>
      <c r="C171" s="11" t="s">
        <v>530</v>
      </c>
      <c r="D171" s="11" t="s">
        <v>539</v>
      </c>
      <c r="E171" s="11" t="s">
        <v>176</v>
      </c>
      <c r="F171" s="11" t="s">
        <v>62</v>
      </c>
      <c r="G171" s="13"/>
      <c r="H171" s="11"/>
      <c r="I171" s="11" t="s">
        <v>121</v>
      </c>
      <c r="J171" s="11" t="s">
        <v>145</v>
      </c>
      <c r="K171" s="11" t="s">
        <v>532</v>
      </c>
      <c r="L171" s="11" t="s">
        <v>540</v>
      </c>
      <c r="M171" s="11"/>
      <c r="N171" s="11" t="s">
        <v>68</v>
      </c>
    </row>
    <row r="172" customFormat="false" ht="30" hidden="false" customHeight="true" outlineLevel="0" collapsed="false">
      <c r="A172" s="10" t="n">
        <v>171</v>
      </c>
      <c r="B172" s="10" t="s">
        <v>12</v>
      </c>
      <c r="C172" s="10" t="s">
        <v>530</v>
      </c>
      <c r="D172" s="10" t="s">
        <v>541</v>
      </c>
      <c r="E172" s="10" t="s">
        <v>144</v>
      </c>
      <c r="F172" s="10" t="s">
        <v>62</v>
      </c>
      <c r="G172" s="12"/>
      <c r="H172" s="10"/>
      <c r="I172" s="10" t="s">
        <v>121</v>
      </c>
      <c r="J172" s="10" t="s">
        <v>145</v>
      </c>
      <c r="K172" s="10" t="s">
        <v>532</v>
      </c>
      <c r="L172" s="10" t="s">
        <v>542</v>
      </c>
      <c r="M172" s="10"/>
      <c r="N172" s="10" t="s">
        <v>68</v>
      </c>
    </row>
    <row r="173" customFormat="false" ht="30" hidden="false" customHeight="true" outlineLevel="0" collapsed="false">
      <c r="A173" s="11" t="n">
        <v>172</v>
      </c>
      <c r="B173" s="11" t="s">
        <v>12</v>
      </c>
      <c r="C173" s="11" t="s">
        <v>530</v>
      </c>
      <c r="D173" s="11" t="s">
        <v>543</v>
      </c>
      <c r="E173" s="11" t="s">
        <v>144</v>
      </c>
      <c r="F173" s="11" t="s">
        <v>62</v>
      </c>
      <c r="G173" s="13"/>
      <c r="H173" s="11"/>
      <c r="I173" s="11" t="s">
        <v>121</v>
      </c>
      <c r="J173" s="11" t="s">
        <v>145</v>
      </c>
      <c r="K173" s="11" t="s">
        <v>532</v>
      </c>
      <c r="L173" s="11" t="s">
        <v>544</v>
      </c>
      <c r="M173" s="11"/>
      <c r="N173" s="11" t="s">
        <v>68</v>
      </c>
    </row>
    <row r="174" customFormat="false" ht="30" hidden="false" customHeight="true" outlineLevel="0" collapsed="false">
      <c r="A174" s="10" t="n">
        <v>173</v>
      </c>
      <c r="B174" s="10" t="s">
        <v>12</v>
      </c>
      <c r="C174" s="10" t="s">
        <v>530</v>
      </c>
      <c r="D174" s="10" t="s">
        <v>545</v>
      </c>
      <c r="E174" s="10" t="s">
        <v>546</v>
      </c>
      <c r="F174" s="10" t="s">
        <v>62</v>
      </c>
      <c r="G174" s="12"/>
      <c r="H174" s="10"/>
      <c r="I174" s="10" t="s">
        <v>121</v>
      </c>
      <c r="J174" s="10" t="s">
        <v>145</v>
      </c>
      <c r="K174" s="10" t="s">
        <v>532</v>
      </c>
      <c r="L174" s="10" t="s">
        <v>547</v>
      </c>
      <c r="M174" s="10"/>
      <c r="N174" s="10" t="s">
        <v>68</v>
      </c>
    </row>
    <row r="175" customFormat="false" ht="30" hidden="false" customHeight="true" outlineLevel="0" collapsed="false">
      <c r="A175" s="11" t="n">
        <v>174</v>
      </c>
      <c r="B175" s="11" t="s">
        <v>12</v>
      </c>
      <c r="C175" s="11" t="s">
        <v>530</v>
      </c>
      <c r="D175" s="11" t="s">
        <v>548</v>
      </c>
      <c r="E175" s="11" t="s">
        <v>144</v>
      </c>
      <c r="F175" s="11" t="s">
        <v>62</v>
      </c>
      <c r="G175" s="13"/>
      <c r="H175" s="11"/>
      <c r="I175" s="11" t="s">
        <v>121</v>
      </c>
      <c r="J175" s="11" t="s">
        <v>145</v>
      </c>
      <c r="K175" s="11" t="s">
        <v>532</v>
      </c>
      <c r="L175" s="11" t="s">
        <v>549</v>
      </c>
      <c r="M175" s="11"/>
      <c r="N175" s="11" t="s">
        <v>68</v>
      </c>
    </row>
    <row r="176" customFormat="false" ht="30" hidden="false" customHeight="true" outlineLevel="0" collapsed="false">
      <c r="A176" s="10" t="n">
        <v>175</v>
      </c>
      <c r="B176" s="10" t="s">
        <v>12</v>
      </c>
      <c r="C176" s="10" t="s">
        <v>530</v>
      </c>
      <c r="D176" s="10" t="s">
        <v>550</v>
      </c>
      <c r="E176" s="10" t="s">
        <v>282</v>
      </c>
      <c r="F176" s="10" t="s">
        <v>62</v>
      </c>
      <c r="G176" s="12"/>
      <c r="H176" s="10"/>
      <c r="I176" s="10" t="s">
        <v>121</v>
      </c>
      <c r="J176" s="10" t="s">
        <v>145</v>
      </c>
      <c r="K176" s="10" t="s">
        <v>532</v>
      </c>
      <c r="L176" s="10" t="s">
        <v>551</v>
      </c>
      <c r="M176" s="10"/>
      <c r="N176" s="10" t="s">
        <v>68</v>
      </c>
    </row>
    <row r="177" customFormat="false" ht="30" hidden="false" customHeight="true" outlineLevel="0" collapsed="false">
      <c r="A177" s="11" t="n">
        <v>176</v>
      </c>
      <c r="B177" s="11" t="s">
        <v>12</v>
      </c>
      <c r="C177" s="11" t="s">
        <v>530</v>
      </c>
      <c r="D177" s="11" t="s">
        <v>552</v>
      </c>
      <c r="E177" s="11" t="s">
        <v>553</v>
      </c>
      <c r="F177" s="11" t="s">
        <v>62</v>
      </c>
      <c r="G177" s="13"/>
      <c r="H177" s="11"/>
      <c r="I177" s="11" t="s">
        <v>63</v>
      </c>
      <c r="J177" s="11" t="s">
        <v>145</v>
      </c>
      <c r="K177" s="11" t="s">
        <v>532</v>
      </c>
      <c r="L177" s="11" t="s">
        <v>554</v>
      </c>
      <c r="M177" s="11"/>
      <c r="N177" s="11" t="s">
        <v>68</v>
      </c>
    </row>
    <row r="178" customFormat="false" ht="30" hidden="false" customHeight="true" outlineLevel="0" collapsed="false">
      <c r="A178" s="10" t="n">
        <v>177</v>
      </c>
      <c r="B178" s="10" t="s">
        <v>12</v>
      </c>
      <c r="C178" s="10" t="s">
        <v>530</v>
      </c>
      <c r="D178" s="10" t="s">
        <v>555</v>
      </c>
      <c r="E178" s="10" t="s">
        <v>556</v>
      </c>
      <c r="F178" s="10" t="s">
        <v>62</v>
      </c>
      <c r="G178" s="12"/>
      <c r="H178" s="10"/>
      <c r="I178" s="10" t="s">
        <v>121</v>
      </c>
      <c r="J178" s="10" t="s">
        <v>145</v>
      </c>
      <c r="K178" s="10" t="s">
        <v>532</v>
      </c>
      <c r="L178" s="10" t="s">
        <v>557</v>
      </c>
      <c r="M178" s="10"/>
      <c r="N178" s="10" t="s">
        <v>68</v>
      </c>
    </row>
    <row r="179" customFormat="false" ht="30" hidden="false" customHeight="true" outlineLevel="0" collapsed="false">
      <c r="A179" s="11" t="n">
        <v>178</v>
      </c>
      <c r="B179" s="11" t="s">
        <v>12</v>
      </c>
      <c r="C179" s="11" t="s">
        <v>530</v>
      </c>
      <c r="D179" s="11" t="s">
        <v>558</v>
      </c>
      <c r="E179" s="11" t="s">
        <v>398</v>
      </c>
      <c r="F179" s="11" t="s">
        <v>62</v>
      </c>
      <c r="G179" s="13"/>
      <c r="H179" s="11"/>
      <c r="I179" s="11" t="s">
        <v>121</v>
      </c>
      <c r="J179" s="11" t="s">
        <v>145</v>
      </c>
      <c r="K179" s="11" t="s">
        <v>532</v>
      </c>
      <c r="L179" s="11" t="s">
        <v>559</v>
      </c>
      <c r="M179" s="11"/>
      <c r="N179" s="11" t="s">
        <v>68</v>
      </c>
    </row>
    <row r="180" customFormat="false" ht="30" hidden="false" customHeight="true" outlineLevel="0" collapsed="false">
      <c r="A180" s="10" t="n">
        <v>179</v>
      </c>
      <c r="B180" s="10" t="s">
        <v>12</v>
      </c>
      <c r="C180" s="10" t="s">
        <v>530</v>
      </c>
      <c r="D180" s="10" t="s">
        <v>560</v>
      </c>
      <c r="E180" s="10" t="s">
        <v>249</v>
      </c>
      <c r="F180" s="10" t="s">
        <v>62</v>
      </c>
      <c r="G180" s="12"/>
      <c r="H180" s="10"/>
      <c r="I180" s="10" t="s">
        <v>121</v>
      </c>
      <c r="J180" s="10" t="s">
        <v>145</v>
      </c>
      <c r="K180" s="10" t="s">
        <v>532</v>
      </c>
      <c r="L180" s="10" t="s">
        <v>561</v>
      </c>
      <c r="M180" s="10"/>
      <c r="N180" s="10" t="s">
        <v>68</v>
      </c>
    </row>
    <row r="181" customFormat="false" ht="30" hidden="false" customHeight="true" outlineLevel="0" collapsed="false">
      <c r="A181" s="11" t="n">
        <v>180</v>
      </c>
      <c r="B181" s="11" t="s">
        <v>12</v>
      </c>
      <c r="C181" s="11" t="s">
        <v>530</v>
      </c>
      <c r="D181" s="11" t="s">
        <v>562</v>
      </c>
      <c r="E181" s="11" t="s">
        <v>249</v>
      </c>
      <c r="F181" s="11" t="s">
        <v>62</v>
      </c>
      <c r="G181" s="13"/>
      <c r="H181" s="11"/>
      <c r="I181" s="11" t="s">
        <v>170</v>
      </c>
      <c r="J181" s="11" t="s">
        <v>145</v>
      </c>
      <c r="K181" s="11" t="s">
        <v>532</v>
      </c>
      <c r="L181" s="11" t="s">
        <v>563</v>
      </c>
      <c r="M181" s="11"/>
      <c r="N181" s="11" t="s">
        <v>68</v>
      </c>
    </row>
    <row r="182" customFormat="false" ht="30" hidden="false" customHeight="true" outlineLevel="0" collapsed="false">
      <c r="A182" s="10" t="n">
        <v>181</v>
      </c>
      <c r="B182" s="10" t="s">
        <v>12</v>
      </c>
      <c r="C182" s="10" t="s">
        <v>530</v>
      </c>
      <c r="D182" s="10" t="s">
        <v>564</v>
      </c>
      <c r="E182" s="10" t="s">
        <v>205</v>
      </c>
      <c r="F182" s="10" t="s">
        <v>62</v>
      </c>
      <c r="G182" s="12"/>
      <c r="H182" s="10"/>
      <c r="I182" s="10" t="s">
        <v>121</v>
      </c>
      <c r="J182" s="10" t="s">
        <v>145</v>
      </c>
      <c r="K182" s="10" t="s">
        <v>532</v>
      </c>
      <c r="L182" s="10" t="s">
        <v>565</v>
      </c>
      <c r="M182" s="10"/>
      <c r="N182" s="10" t="s">
        <v>68</v>
      </c>
    </row>
    <row r="183" customFormat="false" ht="30" hidden="false" customHeight="true" outlineLevel="0" collapsed="false">
      <c r="A183" s="11" t="n">
        <v>182</v>
      </c>
      <c r="B183" s="11" t="s">
        <v>12</v>
      </c>
      <c r="C183" s="11" t="s">
        <v>566</v>
      </c>
      <c r="D183" s="11" t="s">
        <v>567</v>
      </c>
      <c r="E183" s="11" t="s">
        <v>470</v>
      </c>
      <c r="F183" s="11" t="s">
        <v>62</v>
      </c>
      <c r="G183" s="13"/>
      <c r="H183" s="11"/>
      <c r="I183" s="11" t="s">
        <v>121</v>
      </c>
      <c r="J183" s="11" t="s">
        <v>145</v>
      </c>
      <c r="K183" s="11" t="s">
        <v>532</v>
      </c>
      <c r="L183" s="11" t="s">
        <v>568</v>
      </c>
      <c r="M183" s="11"/>
      <c r="N183" s="11" t="s">
        <v>68</v>
      </c>
    </row>
    <row r="184" customFormat="false" ht="30" hidden="false" customHeight="true" outlineLevel="0" collapsed="false">
      <c r="A184" s="10" t="n">
        <v>183</v>
      </c>
      <c r="B184" s="10" t="s">
        <v>12</v>
      </c>
      <c r="C184" s="10" t="s">
        <v>530</v>
      </c>
      <c r="D184" s="10" t="s">
        <v>569</v>
      </c>
      <c r="E184" s="10" t="s">
        <v>570</v>
      </c>
      <c r="F184" s="10" t="s">
        <v>62</v>
      </c>
      <c r="G184" s="12"/>
      <c r="H184" s="10"/>
      <c r="I184" s="10" t="s">
        <v>170</v>
      </c>
      <c r="J184" s="10" t="s">
        <v>145</v>
      </c>
      <c r="K184" s="10" t="s">
        <v>532</v>
      </c>
      <c r="L184" s="10" t="s">
        <v>571</v>
      </c>
      <c r="M184" s="10" t="s">
        <v>572</v>
      </c>
      <c r="N184" s="10" t="s">
        <v>68</v>
      </c>
    </row>
    <row r="185" customFormat="false" ht="30" hidden="false" customHeight="true" outlineLevel="0" collapsed="false">
      <c r="A185" s="11" t="n">
        <v>184</v>
      </c>
      <c r="B185" s="11" t="s">
        <v>16</v>
      </c>
      <c r="C185" s="11" t="s">
        <v>16</v>
      </c>
      <c r="D185" s="11" t="s">
        <v>573</v>
      </c>
      <c r="E185" s="11" t="s">
        <v>71</v>
      </c>
      <c r="F185" s="11" t="s">
        <v>62</v>
      </c>
      <c r="G185" s="13" t="n">
        <v>4.4</v>
      </c>
      <c r="H185" s="11" t="n">
        <v>298</v>
      </c>
      <c r="I185" s="11" t="s">
        <v>63</v>
      </c>
      <c r="J185" s="11" t="s">
        <v>64</v>
      </c>
      <c r="K185" s="11" t="s">
        <v>311</v>
      </c>
      <c r="L185" s="11" t="s">
        <v>574</v>
      </c>
      <c r="M185" s="11" t="s">
        <v>575</v>
      </c>
      <c r="N185" s="11" t="s">
        <v>68</v>
      </c>
    </row>
    <row r="186" customFormat="false" ht="30" hidden="false" customHeight="true" outlineLevel="0" collapsed="false">
      <c r="A186" s="10" t="n">
        <v>185</v>
      </c>
      <c r="B186" s="10" t="s">
        <v>16</v>
      </c>
      <c r="C186" s="10" t="s">
        <v>16</v>
      </c>
      <c r="D186" s="10" t="s">
        <v>576</v>
      </c>
      <c r="E186" s="10" t="s">
        <v>577</v>
      </c>
      <c r="F186" s="10" t="s">
        <v>62</v>
      </c>
      <c r="G186" s="12"/>
      <c r="H186" s="10"/>
      <c r="I186" s="10" t="s">
        <v>63</v>
      </c>
      <c r="J186" s="10" t="s">
        <v>145</v>
      </c>
      <c r="K186" s="10" t="s">
        <v>578</v>
      </c>
      <c r="L186" s="10" t="s">
        <v>579</v>
      </c>
      <c r="M186" s="10" t="s">
        <v>580</v>
      </c>
      <c r="N186" s="10" t="s">
        <v>68</v>
      </c>
    </row>
    <row r="187" customFormat="false" ht="30" hidden="false" customHeight="true" outlineLevel="0" collapsed="false">
      <c r="A187" s="11" t="n">
        <v>186</v>
      </c>
      <c r="B187" s="11" t="s">
        <v>16</v>
      </c>
      <c r="C187" s="11" t="s">
        <v>16</v>
      </c>
      <c r="D187" s="11" t="s">
        <v>581</v>
      </c>
      <c r="E187" s="11" t="s">
        <v>144</v>
      </c>
      <c r="F187" s="11" t="s">
        <v>62</v>
      </c>
      <c r="G187" s="13"/>
      <c r="H187" s="11"/>
      <c r="I187" s="11" t="s">
        <v>121</v>
      </c>
      <c r="J187" s="11" t="s">
        <v>145</v>
      </c>
      <c r="K187" s="11" t="s">
        <v>578</v>
      </c>
      <c r="L187" s="11" t="s">
        <v>582</v>
      </c>
      <c r="M187" s="11"/>
      <c r="N187" s="11" t="s">
        <v>68</v>
      </c>
    </row>
    <row r="188" customFormat="false" ht="30" hidden="false" customHeight="true" outlineLevel="0" collapsed="false">
      <c r="A188" s="10" t="n">
        <v>187</v>
      </c>
      <c r="B188" s="10" t="s">
        <v>16</v>
      </c>
      <c r="C188" s="10" t="s">
        <v>16</v>
      </c>
      <c r="D188" s="10" t="s">
        <v>583</v>
      </c>
      <c r="E188" s="10" t="s">
        <v>584</v>
      </c>
      <c r="F188" s="10" t="s">
        <v>62</v>
      </c>
      <c r="G188" s="12"/>
      <c r="H188" s="10"/>
      <c r="I188" s="10" t="s">
        <v>63</v>
      </c>
      <c r="J188" s="10" t="s">
        <v>145</v>
      </c>
      <c r="K188" s="10" t="s">
        <v>578</v>
      </c>
      <c r="L188" s="10" t="s">
        <v>585</v>
      </c>
      <c r="M188" s="10" t="s">
        <v>586</v>
      </c>
      <c r="N188" s="10" t="s">
        <v>68</v>
      </c>
    </row>
    <row r="189" customFormat="false" ht="30" hidden="false" customHeight="true" outlineLevel="0" collapsed="false">
      <c r="A189" s="11" t="n">
        <v>188</v>
      </c>
      <c r="B189" s="11" t="s">
        <v>16</v>
      </c>
      <c r="C189" s="11" t="s">
        <v>16</v>
      </c>
      <c r="D189" s="11" t="s">
        <v>587</v>
      </c>
      <c r="E189" s="11" t="s">
        <v>176</v>
      </c>
      <c r="F189" s="11" t="s">
        <v>62</v>
      </c>
      <c r="G189" s="13"/>
      <c r="H189" s="11"/>
      <c r="I189" s="11" t="s">
        <v>121</v>
      </c>
      <c r="J189" s="11" t="s">
        <v>145</v>
      </c>
      <c r="K189" s="11" t="s">
        <v>578</v>
      </c>
      <c r="L189" s="11" t="s">
        <v>588</v>
      </c>
      <c r="M189" s="11"/>
      <c r="N189" s="11" t="s">
        <v>68</v>
      </c>
    </row>
    <row r="190" customFormat="false" ht="30" hidden="false" customHeight="true" outlineLevel="0" collapsed="false">
      <c r="A190" s="10" t="n">
        <v>189</v>
      </c>
      <c r="B190" s="10" t="s">
        <v>16</v>
      </c>
      <c r="C190" s="10" t="s">
        <v>16</v>
      </c>
      <c r="D190" s="10" t="s">
        <v>589</v>
      </c>
      <c r="E190" s="10" t="s">
        <v>590</v>
      </c>
      <c r="F190" s="10" t="s">
        <v>62</v>
      </c>
      <c r="G190" s="12"/>
      <c r="H190" s="10"/>
      <c r="I190" s="10" t="s">
        <v>121</v>
      </c>
      <c r="J190" s="10" t="s">
        <v>145</v>
      </c>
      <c r="K190" s="10" t="s">
        <v>578</v>
      </c>
      <c r="L190" s="10" t="s">
        <v>591</v>
      </c>
      <c r="M190" s="10" t="s">
        <v>592</v>
      </c>
      <c r="N190" s="10" t="s">
        <v>68</v>
      </c>
    </row>
    <row r="191" customFormat="false" ht="30" hidden="false" customHeight="true" outlineLevel="0" collapsed="false">
      <c r="A191" s="11" t="n">
        <v>190</v>
      </c>
      <c r="B191" s="11" t="s">
        <v>16</v>
      </c>
      <c r="C191" s="11" t="s">
        <v>16</v>
      </c>
      <c r="D191" s="11" t="s">
        <v>593</v>
      </c>
      <c r="E191" s="11" t="s">
        <v>144</v>
      </c>
      <c r="F191" s="11" t="s">
        <v>62</v>
      </c>
      <c r="G191" s="13"/>
      <c r="H191" s="11"/>
      <c r="I191" s="11" t="s">
        <v>121</v>
      </c>
      <c r="J191" s="11" t="s">
        <v>145</v>
      </c>
      <c r="K191" s="11" t="s">
        <v>578</v>
      </c>
      <c r="L191" s="11" t="s">
        <v>594</v>
      </c>
      <c r="M191" s="11"/>
      <c r="N191" s="11" t="s">
        <v>68</v>
      </c>
    </row>
    <row r="192" customFormat="false" ht="30" hidden="false" customHeight="true" outlineLevel="0" collapsed="false">
      <c r="A192" s="10" t="n">
        <v>191</v>
      </c>
      <c r="B192" s="10" t="s">
        <v>16</v>
      </c>
      <c r="C192" s="10" t="s">
        <v>16</v>
      </c>
      <c r="D192" s="10" t="s">
        <v>595</v>
      </c>
      <c r="E192" s="10" t="s">
        <v>144</v>
      </c>
      <c r="F192" s="10" t="s">
        <v>62</v>
      </c>
      <c r="G192" s="12"/>
      <c r="H192" s="10"/>
      <c r="I192" s="10" t="s">
        <v>121</v>
      </c>
      <c r="J192" s="10" t="s">
        <v>145</v>
      </c>
      <c r="K192" s="10" t="s">
        <v>578</v>
      </c>
      <c r="L192" s="10" t="s">
        <v>596</v>
      </c>
      <c r="M192" s="10"/>
      <c r="N192" s="10" t="s">
        <v>68</v>
      </c>
    </row>
    <row r="193" customFormat="false" ht="30" hidden="false" customHeight="true" outlineLevel="0" collapsed="false">
      <c r="A193" s="11" t="n">
        <v>192</v>
      </c>
      <c r="B193" s="11" t="s">
        <v>16</v>
      </c>
      <c r="C193" s="11" t="s">
        <v>16</v>
      </c>
      <c r="D193" s="11" t="s">
        <v>597</v>
      </c>
      <c r="E193" s="11" t="s">
        <v>144</v>
      </c>
      <c r="F193" s="11" t="s">
        <v>62</v>
      </c>
      <c r="G193" s="13"/>
      <c r="H193" s="11"/>
      <c r="I193" s="11" t="s">
        <v>121</v>
      </c>
      <c r="J193" s="11" t="s">
        <v>145</v>
      </c>
      <c r="K193" s="11" t="s">
        <v>578</v>
      </c>
      <c r="L193" s="11" t="s">
        <v>598</v>
      </c>
      <c r="M193" s="11"/>
      <c r="N193" s="11" t="s">
        <v>68</v>
      </c>
    </row>
    <row r="194" customFormat="false" ht="30" hidden="false" customHeight="true" outlineLevel="0" collapsed="false">
      <c r="A194" s="10" t="n">
        <v>193</v>
      </c>
      <c r="B194" s="10" t="s">
        <v>16</v>
      </c>
      <c r="C194" s="10" t="s">
        <v>16</v>
      </c>
      <c r="D194" s="10" t="s">
        <v>599</v>
      </c>
      <c r="E194" s="10" t="s">
        <v>144</v>
      </c>
      <c r="F194" s="10" t="s">
        <v>62</v>
      </c>
      <c r="G194" s="12"/>
      <c r="H194" s="10"/>
      <c r="I194" s="10" t="s">
        <v>170</v>
      </c>
      <c r="J194" s="10" t="s">
        <v>145</v>
      </c>
      <c r="K194" s="10" t="s">
        <v>578</v>
      </c>
      <c r="L194" s="10" t="s">
        <v>600</v>
      </c>
      <c r="M194" s="10"/>
      <c r="N194" s="10" t="s">
        <v>68</v>
      </c>
    </row>
    <row r="195" customFormat="false" ht="30" hidden="false" customHeight="true" outlineLevel="0" collapsed="false">
      <c r="A195" s="11" t="n">
        <v>194</v>
      </c>
      <c r="B195" s="11" t="s">
        <v>16</v>
      </c>
      <c r="C195" s="11" t="s">
        <v>16</v>
      </c>
      <c r="D195" s="11" t="s">
        <v>601</v>
      </c>
      <c r="E195" s="11" t="s">
        <v>144</v>
      </c>
      <c r="F195" s="11" t="s">
        <v>62</v>
      </c>
      <c r="G195" s="13"/>
      <c r="H195" s="11"/>
      <c r="I195" s="11" t="s">
        <v>121</v>
      </c>
      <c r="J195" s="11" t="s">
        <v>145</v>
      </c>
      <c r="K195" s="11" t="s">
        <v>578</v>
      </c>
      <c r="L195" s="11" t="s">
        <v>602</v>
      </c>
      <c r="M195" s="11"/>
      <c r="N195" s="11" t="s">
        <v>68</v>
      </c>
    </row>
    <row r="196" customFormat="false" ht="30" hidden="false" customHeight="true" outlineLevel="0" collapsed="false">
      <c r="A196" s="10" t="n">
        <v>195</v>
      </c>
      <c r="B196" s="10" t="s">
        <v>16</v>
      </c>
      <c r="C196" s="10" t="s">
        <v>16</v>
      </c>
      <c r="D196" s="10" t="s">
        <v>603</v>
      </c>
      <c r="E196" s="10" t="s">
        <v>144</v>
      </c>
      <c r="F196" s="10" t="s">
        <v>62</v>
      </c>
      <c r="G196" s="12"/>
      <c r="H196" s="10"/>
      <c r="I196" s="10" t="s">
        <v>121</v>
      </c>
      <c r="J196" s="10" t="s">
        <v>145</v>
      </c>
      <c r="K196" s="10" t="s">
        <v>578</v>
      </c>
      <c r="L196" s="10" t="s">
        <v>604</v>
      </c>
      <c r="M196" s="10"/>
      <c r="N196" s="10" t="s">
        <v>68</v>
      </c>
    </row>
    <row r="197" customFormat="false" ht="30" hidden="false" customHeight="true" outlineLevel="0" collapsed="false">
      <c r="A197" s="11" t="n">
        <v>196</v>
      </c>
      <c r="B197" s="11" t="s">
        <v>16</v>
      </c>
      <c r="C197" s="11" t="s">
        <v>16</v>
      </c>
      <c r="D197" s="11" t="s">
        <v>605</v>
      </c>
      <c r="E197" s="11" t="s">
        <v>144</v>
      </c>
      <c r="F197" s="11" t="s">
        <v>62</v>
      </c>
      <c r="G197" s="13"/>
      <c r="H197" s="11"/>
      <c r="I197" s="11" t="s">
        <v>121</v>
      </c>
      <c r="J197" s="11" t="s">
        <v>145</v>
      </c>
      <c r="K197" s="11" t="s">
        <v>578</v>
      </c>
      <c r="L197" s="11" t="s">
        <v>606</v>
      </c>
      <c r="M197" s="11"/>
      <c r="N197" s="11" t="s">
        <v>68</v>
      </c>
    </row>
    <row r="198" customFormat="false" ht="30" hidden="false" customHeight="true" outlineLevel="0" collapsed="false">
      <c r="A198" s="10" t="n">
        <v>197</v>
      </c>
      <c r="B198" s="10" t="s">
        <v>16</v>
      </c>
      <c r="C198" s="10" t="s">
        <v>16</v>
      </c>
      <c r="D198" s="10" t="s">
        <v>607</v>
      </c>
      <c r="E198" s="10" t="s">
        <v>144</v>
      </c>
      <c r="F198" s="10" t="s">
        <v>62</v>
      </c>
      <c r="G198" s="12"/>
      <c r="H198" s="10"/>
      <c r="I198" s="10" t="s">
        <v>121</v>
      </c>
      <c r="J198" s="10" t="s">
        <v>145</v>
      </c>
      <c r="K198" s="10" t="s">
        <v>578</v>
      </c>
      <c r="L198" s="10" t="s">
        <v>608</v>
      </c>
      <c r="M198" s="10"/>
      <c r="N198" s="10" t="s">
        <v>68</v>
      </c>
    </row>
    <row r="199" customFormat="false" ht="30" hidden="false" customHeight="true" outlineLevel="0" collapsed="false">
      <c r="A199" s="11" t="n">
        <v>198</v>
      </c>
      <c r="B199" s="11" t="s">
        <v>16</v>
      </c>
      <c r="C199" s="11" t="s">
        <v>16</v>
      </c>
      <c r="D199" s="11" t="s">
        <v>609</v>
      </c>
      <c r="E199" s="11" t="s">
        <v>610</v>
      </c>
      <c r="F199" s="11" t="s">
        <v>62</v>
      </c>
      <c r="G199" s="13"/>
      <c r="H199" s="11"/>
      <c r="I199" s="11" t="s">
        <v>170</v>
      </c>
      <c r="J199" s="11" t="s">
        <v>145</v>
      </c>
      <c r="K199" s="11" t="s">
        <v>578</v>
      </c>
      <c r="L199" s="11" t="s">
        <v>611</v>
      </c>
      <c r="M199" s="11"/>
      <c r="N199" s="11" t="s">
        <v>68</v>
      </c>
    </row>
    <row r="200" customFormat="false" ht="30" hidden="false" customHeight="true" outlineLevel="0" collapsed="false">
      <c r="A200" s="10" t="n">
        <v>199</v>
      </c>
      <c r="B200" s="10" t="s">
        <v>16</v>
      </c>
      <c r="C200" s="10" t="s">
        <v>16</v>
      </c>
      <c r="D200" s="10" t="s">
        <v>612</v>
      </c>
      <c r="E200" s="10" t="s">
        <v>144</v>
      </c>
      <c r="F200" s="10" t="s">
        <v>62</v>
      </c>
      <c r="G200" s="12"/>
      <c r="H200" s="10"/>
      <c r="I200" s="10" t="s">
        <v>170</v>
      </c>
      <c r="J200" s="10" t="s">
        <v>145</v>
      </c>
      <c r="K200" s="10" t="s">
        <v>578</v>
      </c>
      <c r="L200" s="10" t="s">
        <v>613</v>
      </c>
      <c r="M200" s="10"/>
      <c r="N200" s="10" t="s">
        <v>68</v>
      </c>
    </row>
    <row r="201" customFormat="false" ht="30" hidden="false" customHeight="true" outlineLevel="0" collapsed="false">
      <c r="A201" s="11" t="n">
        <v>200</v>
      </c>
      <c r="B201" s="11" t="s">
        <v>16</v>
      </c>
      <c r="C201" s="11" t="s">
        <v>16</v>
      </c>
      <c r="D201" s="11" t="s">
        <v>614</v>
      </c>
      <c r="E201" s="11" t="s">
        <v>144</v>
      </c>
      <c r="F201" s="11" t="s">
        <v>62</v>
      </c>
      <c r="G201" s="13"/>
      <c r="H201" s="11"/>
      <c r="I201" s="11" t="s">
        <v>170</v>
      </c>
      <c r="J201" s="11" t="s">
        <v>145</v>
      </c>
      <c r="K201" s="11" t="s">
        <v>578</v>
      </c>
      <c r="L201" s="11" t="s">
        <v>615</v>
      </c>
      <c r="M201" s="11"/>
      <c r="N201" s="11" t="s">
        <v>68</v>
      </c>
    </row>
    <row r="202" customFormat="false" ht="30" hidden="false" customHeight="true" outlineLevel="0" collapsed="false">
      <c r="A202" s="10" t="n">
        <v>201</v>
      </c>
      <c r="B202" s="10" t="s">
        <v>16</v>
      </c>
      <c r="C202" s="10" t="s">
        <v>16</v>
      </c>
      <c r="D202" s="10" t="s">
        <v>616</v>
      </c>
      <c r="E202" s="10" t="s">
        <v>249</v>
      </c>
      <c r="F202" s="10" t="s">
        <v>62</v>
      </c>
      <c r="G202" s="12"/>
      <c r="H202" s="10"/>
      <c r="I202" s="10" t="s">
        <v>170</v>
      </c>
      <c r="J202" s="10" t="s">
        <v>145</v>
      </c>
      <c r="K202" s="10" t="s">
        <v>578</v>
      </c>
      <c r="L202" s="10" t="s">
        <v>617</v>
      </c>
      <c r="M202" s="10"/>
      <c r="N202" s="10" t="s">
        <v>68</v>
      </c>
    </row>
    <row r="203" customFormat="false" ht="30" hidden="false" customHeight="true" outlineLevel="0" collapsed="false">
      <c r="A203" s="11" t="n">
        <v>202</v>
      </c>
      <c r="B203" s="11" t="s">
        <v>16</v>
      </c>
      <c r="C203" s="11" t="s">
        <v>16</v>
      </c>
      <c r="D203" s="11" t="s">
        <v>618</v>
      </c>
      <c r="E203" s="11" t="s">
        <v>249</v>
      </c>
      <c r="F203" s="11" t="s">
        <v>62</v>
      </c>
      <c r="G203" s="13"/>
      <c r="H203" s="11"/>
      <c r="I203" s="11" t="s">
        <v>170</v>
      </c>
      <c r="J203" s="11" t="s">
        <v>145</v>
      </c>
      <c r="K203" s="11" t="s">
        <v>578</v>
      </c>
      <c r="L203" s="11" t="s">
        <v>619</v>
      </c>
      <c r="M203" s="11"/>
      <c r="N203" s="11" t="s">
        <v>68</v>
      </c>
    </row>
    <row r="204" customFormat="false" ht="30" hidden="false" customHeight="true" outlineLevel="0" collapsed="false">
      <c r="A204" s="10" t="n">
        <v>203</v>
      </c>
      <c r="B204" s="10" t="s">
        <v>16</v>
      </c>
      <c r="C204" s="10" t="s">
        <v>16</v>
      </c>
      <c r="D204" s="10" t="s">
        <v>620</v>
      </c>
      <c r="E204" s="10" t="s">
        <v>249</v>
      </c>
      <c r="F204" s="10" t="s">
        <v>62</v>
      </c>
      <c r="G204" s="12"/>
      <c r="H204" s="10"/>
      <c r="I204" s="10" t="s">
        <v>121</v>
      </c>
      <c r="J204" s="10" t="s">
        <v>145</v>
      </c>
      <c r="K204" s="10" t="s">
        <v>578</v>
      </c>
      <c r="L204" s="10" t="s">
        <v>621</v>
      </c>
      <c r="M204" s="10"/>
      <c r="N204" s="10" t="s">
        <v>68</v>
      </c>
    </row>
    <row r="205" customFormat="false" ht="30" hidden="false" customHeight="true" outlineLevel="0" collapsed="false">
      <c r="A205" s="11" t="n">
        <v>204</v>
      </c>
      <c r="B205" s="11" t="s">
        <v>16</v>
      </c>
      <c r="C205" s="11" t="s">
        <v>16</v>
      </c>
      <c r="D205" s="11" t="s">
        <v>622</v>
      </c>
      <c r="E205" s="11" t="s">
        <v>249</v>
      </c>
      <c r="F205" s="11" t="s">
        <v>62</v>
      </c>
      <c r="G205" s="13"/>
      <c r="H205" s="11"/>
      <c r="I205" s="11" t="s">
        <v>121</v>
      </c>
      <c r="J205" s="11" t="s">
        <v>145</v>
      </c>
      <c r="K205" s="11" t="s">
        <v>578</v>
      </c>
      <c r="L205" s="11" t="s">
        <v>623</v>
      </c>
      <c r="M205" s="11"/>
      <c r="N205" s="11" t="s">
        <v>68</v>
      </c>
    </row>
    <row r="206" customFormat="false" ht="30" hidden="false" customHeight="true" outlineLevel="0" collapsed="false">
      <c r="A206" s="10" t="n">
        <v>205</v>
      </c>
      <c r="B206" s="10" t="s">
        <v>16</v>
      </c>
      <c r="C206" s="10" t="s">
        <v>16</v>
      </c>
      <c r="D206" s="10" t="s">
        <v>624</v>
      </c>
      <c r="E206" s="10" t="s">
        <v>249</v>
      </c>
      <c r="F206" s="10" t="s">
        <v>62</v>
      </c>
      <c r="G206" s="12"/>
      <c r="H206" s="10"/>
      <c r="I206" s="10" t="s">
        <v>121</v>
      </c>
      <c r="J206" s="10" t="s">
        <v>145</v>
      </c>
      <c r="K206" s="10" t="s">
        <v>578</v>
      </c>
      <c r="L206" s="10" t="s">
        <v>625</v>
      </c>
      <c r="M206" s="10"/>
      <c r="N206" s="10" t="s">
        <v>68</v>
      </c>
    </row>
    <row r="207" customFormat="false" ht="30" hidden="false" customHeight="true" outlineLevel="0" collapsed="false">
      <c r="A207" s="11" t="n">
        <v>206</v>
      </c>
      <c r="B207" s="11" t="s">
        <v>16</v>
      </c>
      <c r="C207" s="11" t="s">
        <v>16</v>
      </c>
      <c r="D207" s="11" t="s">
        <v>626</v>
      </c>
      <c r="E207" s="11" t="s">
        <v>627</v>
      </c>
      <c r="F207" s="11" t="s">
        <v>62</v>
      </c>
      <c r="G207" s="13"/>
      <c r="H207" s="11"/>
      <c r="I207" s="11" t="s">
        <v>121</v>
      </c>
      <c r="J207" s="11" t="s">
        <v>145</v>
      </c>
      <c r="K207" s="11" t="s">
        <v>578</v>
      </c>
      <c r="L207" s="11" t="s">
        <v>628</v>
      </c>
      <c r="M207" s="11"/>
      <c r="N207" s="11" t="s">
        <v>68</v>
      </c>
    </row>
    <row r="208" customFormat="false" ht="30" hidden="false" customHeight="true" outlineLevel="0" collapsed="false">
      <c r="A208" s="10" t="n">
        <v>207</v>
      </c>
      <c r="B208" s="10" t="s">
        <v>16</v>
      </c>
      <c r="C208" s="10" t="s">
        <v>16</v>
      </c>
      <c r="D208" s="10" t="s">
        <v>629</v>
      </c>
      <c r="E208" s="10" t="s">
        <v>630</v>
      </c>
      <c r="F208" s="10" t="s">
        <v>62</v>
      </c>
      <c r="G208" s="12"/>
      <c r="H208" s="10"/>
      <c r="I208" s="10" t="s">
        <v>121</v>
      </c>
      <c r="J208" s="10" t="s">
        <v>145</v>
      </c>
      <c r="K208" s="10" t="s">
        <v>578</v>
      </c>
      <c r="L208" s="10" t="s">
        <v>631</v>
      </c>
      <c r="M208" s="10"/>
      <c r="N208" s="10" t="s">
        <v>68</v>
      </c>
    </row>
    <row r="209" customFormat="false" ht="30" hidden="false" customHeight="true" outlineLevel="0" collapsed="false">
      <c r="A209" s="11" t="n">
        <v>208</v>
      </c>
      <c r="B209" s="11" t="s">
        <v>16</v>
      </c>
      <c r="C209" s="11" t="s">
        <v>16</v>
      </c>
      <c r="D209" s="11" t="s">
        <v>632</v>
      </c>
      <c r="E209" s="11" t="s">
        <v>217</v>
      </c>
      <c r="F209" s="11" t="s">
        <v>62</v>
      </c>
      <c r="G209" s="13"/>
      <c r="H209" s="11"/>
      <c r="I209" s="11" t="s">
        <v>170</v>
      </c>
      <c r="J209" s="11" t="s">
        <v>145</v>
      </c>
      <c r="K209" s="11" t="s">
        <v>578</v>
      </c>
      <c r="L209" s="11" t="s">
        <v>633</v>
      </c>
      <c r="M209" s="11"/>
      <c r="N209" s="11" t="s">
        <v>68</v>
      </c>
    </row>
    <row r="210" customFormat="false" ht="30" hidden="false" customHeight="true" outlineLevel="0" collapsed="false">
      <c r="A210" s="10" t="n">
        <v>209</v>
      </c>
      <c r="B210" s="10" t="s">
        <v>16</v>
      </c>
      <c r="C210" s="10" t="s">
        <v>16</v>
      </c>
      <c r="D210" s="10" t="s">
        <v>634</v>
      </c>
      <c r="E210" s="10" t="s">
        <v>217</v>
      </c>
      <c r="F210" s="10" t="s">
        <v>62</v>
      </c>
      <c r="G210" s="12"/>
      <c r="H210" s="10"/>
      <c r="I210" s="10" t="s">
        <v>170</v>
      </c>
      <c r="J210" s="10" t="s">
        <v>145</v>
      </c>
      <c r="K210" s="10" t="s">
        <v>578</v>
      </c>
      <c r="L210" s="10" t="s">
        <v>635</v>
      </c>
      <c r="M210" s="10"/>
      <c r="N210" s="10" t="s">
        <v>68</v>
      </c>
    </row>
    <row r="211" customFormat="false" ht="30" hidden="false" customHeight="true" outlineLevel="0" collapsed="false">
      <c r="A211" s="11" t="n">
        <v>210</v>
      </c>
      <c r="B211" s="11" t="s">
        <v>16</v>
      </c>
      <c r="C211" s="11" t="s">
        <v>16</v>
      </c>
      <c r="D211" s="11" t="s">
        <v>636</v>
      </c>
      <c r="E211" s="11" t="s">
        <v>217</v>
      </c>
      <c r="F211" s="11" t="s">
        <v>62</v>
      </c>
      <c r="G211" s="13"/>
      <c r="H211" s="11"/>
      <c r="I211" s="11" t="s">
        <v>170</v>
      </c>
      <c r="J211" s="11" t="s">
        <v>145</v>
      </c>
      <c r="K211" s="11" t="s">
        <v>578</v>
      </c>
      <c r="L211" s="11" t="s">
        <v>637</v>
      </c>
      <c r="M211" s="11"/>
      <c r="N211" s="11" t="s">
        <v>68</v>
      </c>
    </row>
    <row r="212" customFormat="false" ht="30" hidden="false" customHeight="true" outlineLevel="0" collapsed="false">
      <c r="A212" s="10" t="n">
        <v>211</v>
      </c>
      <c r="B212" s="10" t="s">
        <v>20</v>
      </c>
      <c r="C212" s="10" t="s">
        <v>638</v>
      </c>
      <c r="D212" s="10" t="s">
        <v>639</v>
      </c>
      <c r="E212" s="10" t="s">
        <v>640</v>
      </c>
      <c r="F212" s="10" t="s">
        <v>62</v>
      </c>
      <c r="G212" s="12" t="n">
        <v>3.9</v>
      </c>
      <c r="H212" s="10" t="n">
        <v>105</v>
      </c>
      <c r="I212" s="10" t="s">
        <v>63</v>
      </c>
      <c r="J212" s="10" t="s">
        <v>64</v>
      </c>
      <c r="K212" s="10" t="s">
        <v>641</v>
      </c>
      <c r="L212" s="10" t="s">
        <v>642</v>
      </c>
      <c r="M212" s="10" t="s">
        <v>643</v>
      </c>
      <c r="N212" s="10" t="s">
        <v>68</v>
      </c>
    </row>
    <row r="213" customFormat="false" ht="30" hidden="false" customHeight="true" outlineLevel="0" collapsed="false">
      <c r="A213" s="11" t="n">
        <v>212</v>
      </c>
      <c r="B213" s="11" t="s">
        <v>20</v>
      </c>
      <c r="C213" s="11" t="s">
        <v>644</v>
      </c>
      <c r="D213" s="11" t="s">
        <v>645</v>
      </c>
      <c r="E213" s="11" t="s">
        <v>646</v>
      </c>
      <c r="F213" s="11" t="s">
        <v>62</v>
      </c>
      <c r="G213" s="13" t="n">
        <v>4.2</v>
      </c>
      <c r="H213" s="11" t="n">
        <v>43</v>
      </c>
      <c r="I213" s="11" t="s">
        <v>63</v>
      </c>
      <c r="J213" s="11" t="s">
        <v>64</v>
      </c>
      <c r="K213" s="11" t="s">
        <v>641</v>
      </c>
      <c r="L213" s="11" t="s">
        <v>647</v>
      </c>
      <c r="M213" s="11" t="s">
        <v>648</v>
      </c>
      <c r="N213" s="11" t="s">
        <v>68</v>
      </c>
    </row>
    <row r="214" customFormat="false" ht="30" hidden="false" customHeight="true" outlineLevel="0" collapsed="false">
      <c r="A214" s="10" t="n">
        <v>213</v>
      </c>
      <c r="B214" s="10" t="s">
        <v>20</v>
      </c>
      <c r="C214" s="10" t="s">
        <v>638</v>
      </c>
      <c r="D214" s="10" t="s">
        <v>649</v>
      </c>
      <c r="E214" s="10" t="s">
        <v>640</v>
      </c>
      <c r="F214" s="10" t="s">
        <v>62</v>
      </c>
      <c r="G214" s="12" t="n">
        <v>4.5</v>
      </c>
      <c r="H214" s="10" t="n">
        <v>11</v>
      </c>
      <c r="I214" s="10" t="s">
        <v>63</v>
      </c>
      <c r="J214" s="10" t="s">
        <v>64</v>
      </c>
      <c r="K214" s="10" t="s">
        <v>641</v>
      </c>
      <c r="L214" s="10" t="s">
        <v>650</v>
      </c>
      <c r="M214" s="10"/>
      <c r="N214" s="10" t="s">
        <v>68</v>
      </c>
    </row>
    <row r="215" customFormat="false" ht="30" hidden="false" customHeight="true" outlineLevel="0" collapsed="false">
      <c r="A215" s="11" t="n">
        <v>214</v>
      </c>
      <c r="B215" s="11" t="s">
        <v>20</v>
      </c>
      <c r="C215" s="11" t="s">
        <v>651</v>
      </c>
      <c r="D215" s="11" t="s">
        <v>652</v>
      </c>
      <c r="E215" s="11" t="s">
        <v>653</v>
      </c>
      <c r="F215" s="11" t="s">
        <v>62</v>
      </c>
      <c r="G215" s="13" t="n">
        <v>4.8</v>
      </c>
      <c r="H215" s="11" t="n">
        <v>9</v>
      </c>
      <c r="I215" s="11" t="s">
        <v>63</v>
      </c>
      <c r="J215" s="11" t="s">
        <v>64</v>
      </c>
      <c r="K215" s="11" t="s">
        <v>641</v>
      </c>
      <c r="L215" s="11" t="s">
        <v>654</v>
      </c>
      <c r="M215" s="11" t="s">
        <v>655</v>
      </c>
      <c r="N215" s="11" t="s">
        <v>68</v>
      </c>
    </row>
    <row r="216" customFormat="false" ht="30" hidden="false" customHeight="true" outlineLevel="0" collapsed="false">
      <c r="A216" s="10" t="n">
        <v>215</v>
      </c>
      <c r="B216" s="10" t="s">
        <v>20</v>
      </c>
      <c r="C216" s="10" t="s">
        <v>644</v>
      </c>
      <c r="D216" s="10" t="s">
        <v>656</v>
      </c>
      <c r="E216" s="10" t="s">
        <v>71</v>
      </c>
      <c r="F216" s="10" t="s">
        <v>62</v>
      </c>
      <c r="G216" s="12" t="n">
        <v>5</v>
      </c>
      <c r="H216" s="10" t="n">
        <v>1</v>
      </c>
      <c r="I216" s="10" t="s">
        <v>121</v>
      </c>
      <c r="J216" s="10" t="s">
        <v>64</v>
      </c>
      <c r="K216" s="10" t="s">
        <v>641</v>
      </c>
      <c r="L216" s="10" t="s">
        <v>657</v>
      </c>
      <c r="M216" s="10" t="s">
        <v>658</v>
      </c>
      <c r="N216" s="10" t="s">
        <v>68</v>
      </c>
    </row>
    <row r="217" customFormat="false" ht="30" hidden="false" customHeight="true" outlineLevel="0" collapsed="false">
      <c r="A217" s="11" t="n">
        <v>216</v>
      </c>
      <c r="B217" s="11" t="s">
        <v>20</v>
      </c>
      <c r="C217" s="11" t="s">
        <v>651</v>
      </c>
      <c r="D217" s="11" t="s">
        <v>659</v>
      </c>
      <c r="E217" s="11" t="s">
        <v>111</v>
      </c>
      <c r="F217" s="11" t="s">
        <v>62</v>
      </c>
      <c r="G217" s="13" t="n">
        <v>4.3</v>
      </c>
      <c r="H217" s="11" t="n">
        <v>3</v>
      </c>
      <c r="I217" s="11" t="s">
        <v>121</v>
      </c>
      <c r="J217" s="11" t="s">
        <v>64</v>
      </c>
      <c r="K217" s="11" t="s">
        <v>641</v>
      </c>
      <c r="L217" s="11" t="s">
        <v>660</v>
      </c>
      <c r="M217" s="11"/>
      <c r="N217" s="11" t="s">
        <v>68</v>
      </c>
    </row>
    <row r="218" customFormat="false" ht="30" hidden="false" customHeight="true" outlineLevel="0" collapsed="false">
      <c r="A218" s="10" t="n">
        <v>217</v>
      </c>
      <c r="B218" s="10" t="s">
        <v>20</v>
      </c>
      <c r="C218" s="10" t="s">
        <v>651</v>
      </c>
      <c r="D218" s="10" t="s">
        <v>661</v>
      </c>
      <c r="E218" s="10" t="s">
        <v>71</v>
      </c>
      <c r="F218" s="10" t="s">
        <v>62</v>
      </c>
      <c r="G218" s="12" t="n">
        <v>4.2</v>
      </c>
      <c r="H218" s="10" t="n">
        <v>5</v>
      </c>
      <c r="I218" s="10" t="s">
        <v>63</v>
      </c>
      <c r="J218" s="10" t="s">
        <v>64</v>
      </c>
      <c r="K218" s="10" t="s">
        <v>641</v>
      </c>
      <c r="L218" s="10" t="s">
        <v>662</v>
      </c>
      <c r="M218" s="10" t="s">
        <v>663</v>
      </c>
      <c r="N218" s="10" t="s">
        <v>68</v>
      </c>
    </row>
    <row r="219" customFormat="false" ht="30" hidden="false" customHeight="true" outlineLevel="0" collapsed="false">
      <c r="A219" s="11" t="n">
        <v>218</v>
      </c>
      <c r="B219" s="11" t="s">
        <v>20</v>
      </c>
      <c r="C219" s="11" t="s">
        <v>644</v>
      </c>
      <c r="D219" s="11" t="s">
        <v>664</v>
      </c>
      <c r="E219" s="11" t="s">
        <v>665</v>
      </c>
      <c r="F219" s="11" t="s">
        <v>62</v>
      </c>
      <c r="G219" s="13" t="n">
        <v>4.3</v>
      </c>
      <c r="H219" s="11" t="n">
        <v>3</v>
      </c>
      <c r="I219" s="11" t="s">
        <v>121</v>
      </c>
      <c r="J219" s="11" t="s">
        <v>64</v>
      </c>
      <c r="K219" s="11" t="s">
        <v>641</v>
      </c>
      <c r="L219" s="11" t="s">
        <v>666</v>
      </c>
      <c r="M219" s="11"/>
      <c r="N219" s="11" t="s">
        <v>68</v>
      </c>
    </row>
    <row r="220" customFormat="false" ht="30" hidden="false" customHeight="true" outlineLevel="0" collapsed="false">
      <c r="A220" s="10" t="n">
        <v>219</v>
      </c>
      <c r="B220" s="10" t="s">
        <v>20</v>
      </c>
      <c r="C220" s="10" t="s">
        <v>638</v>
      </c>
      <c r="D220" s="10" t="s">
        <v>667</v>
      </c>
      <c r="E220" s="10" t="s">
        <v>668</v>
      </c>
      <c r="F220" s="10" t="s">
        <v>62</v>
      </c>
      <c r="G220" s="12" t="n">
        <v>4</v>
      </c>
      <c r="H220" s="10" t="n">
        <v>1</v>
      </c>
      <c r="I220" s="10" t="s">
        <v>121</v>
      </c>
      <c r="J220" s="10" t="s">
        <v>64</v>
      </c>
      <c r="K220" s="10" t="s">
        <v>641</v>
      </c>
      <c r="L220" s="10" t="s">
        <v>669</v>
      </c>
      <c r="M220" s="10"/>
      <c r="N220" s="10" t="s">
        <v>68</v>
      </c>
    </row>
    <row r="221" customFormat="false" ht="30" hidden="false" customHeight="true" outlineLevel="0" collapsed="false">
      <c r="A221" s="11" t="n">
        <v>220</v>
      </c>
      <c r="B221" s="11" t="s">
        <v>20</v>
      </c>
      <c r="C221" s="11" t="s">
        <v>651</v>
      </c>
      <c r="D221" s="11" t="s">
        <v>670</v>
      </c>
      <c r="E221" s="11" t="s">
        <v>144</v>
      </c>
      <c r="F221" s="11" t="s">
        <v>62</v>
      </c>
      <c r="G221" s="13" t="n">
        <v>3</v>
      </c>
      <c r="H221" s="11" t="n">
        <v>4</v>
      </c>
      <c r="I221" s="11" t="s">
        <v>121</v>
      </c>
      <c r="J221" s="11" t="s">
        <v>64</v>
      </c>
      <c r="K221" s="11" t="s">
        <v>641</v>
      </c>
      <c r="L221" s="11" t="s">
        <v>671</v>
      </c>
      <c r="M221" s="11"/>
      <c r="N221" s="11" t="s">
        <v>68</v>
      </c>
    </row>
    <row r="222" customFormat="false" ht="30" hidden="false" customHeight="true" outlineLevel="0" collapsed="false">
      <c r="A222" s="10" t="n">
        <v>221</v>
      </c>
      <c r="B222" s="10" t="s">
        <v>20</v>
      </c>
      <c r="C222" s="10" t="s">
        <v>651</v>
      </c>
      <c r="D222" s="10" t="s">
        <v>672</v>
      </c>
      <c r="E222" s="10" t="s">
        <v>673</v>
      </c>
      <c r="F222" s="10" t="s">
        <v>62</v>
      </c>
      <c r="G222" s="12"/>
      <c r="H222" s="10"/>
      <c r="I222" s="10" t="s">
        <v>170</v>
      </c>
      <c r="J222" s="10" t="s">
        <v>64</v>
      </c>
      <c r="K222" s="10" t="s">
        <v>641</v>
      </c>
      <c r="L222" s="10" t="s">
        <v>674</v>
      </c>
      <c r="M222" s="10" t="s">
        <v>675</v>
      </c>
      <c r="N222" s="10" t="s">
        <v>68</v>
      </c>
    </row>
    <row r="223" customFormat="false" ht="30" hidden="false" customHeight="true" outlineLevel="0" collapsed="false">
      <c r="A223" s="11" t="n">
        <v>222</v>
      </c>
      <c r="B223" s="11" t="s">
        <v>20</v>
      </c>
      <c r="C223" s="11" t="s">
        <v>638</v>
      </c>
      <c r="D223" s="11" t="s">
        <v>676</v>
      </c>
      <c r="E223" s="11" t="s">
        <v>144</v>
      </c>
      <c r="F223" s="11" t="s">
        <v>62</v>
      </c>
      <c r="G223" s="13"/>
      <c r="H223" s="11"/>
      <c r="I223" s="11" t="s">
        <v>170</v>
      </c>
      <c r="J223" s="11" t="s">
        <v>64</v>
      </c>
      <c r="K223" s="11" t="s">
        <v>641</v>
      </c>
      <c r="L223" s="11" t="s">
        <v>677</v>
      </c>
      <c r="M223" s="11" t="s">
        <v>675</v>
      </c>
      <c r="N223" s="11" t="s">
        <v>68</v>
      </c>
    </row>
    <row r="224" customFormat="false" ht="30" hidden="false" customHeight="true" outlineLevel="0" collapsed="false">
      <c r="A224" s="10" t="n">
        <v>223</v>
      </c>
      <c r="B224" s="10" t="s">
        <v>20</v>
      </c>
      <c r="C224" s="10" t="s">
        <v>644</v>
      </c>
      <c r="D224" s="10" t="s">
        <v>678</v>
      </c>
      <c r="E224" s="10" t="s">
        <v>144</v>
      </c>
      <c r="F224" s="10" t="s">
        <v>62</v>
      </c>
      <c r="G224" s="12"/>
      <c r="H224" s="10"/>
      <c r="I224" s="10" t="s">
        <v>121</v>
      </c>
      <c r="J224" s="10" t="s">
        <v>145</v>
      </c>
      <c r="K224" s="10" t="s">
        <v>679</v>
      </c>
      <c r="L224" s="10" t="s">
        <v>680</v>
      </c>
      <c r="M224" s="10"/>
      <c r="N224" s="10" t="s">
        <v>68</v>
      </c>
    </row>
    <row r="225" customFormat="false" ht="30" hidden="false" customHeight="true" outlineLevel="0" collapsed="false">
      <c r="A225" s="11" t="n">
        <v>224</v>
      </c>
      <c r="B225" s="11" t="s">
        <v>20</v>
      </c>
      <c r="C225" s="11" t="s">
        <v>644</v>
      </c>
      <c r="D225" s="11" t="s">
        <v>681</v>
      </c>
      <c r="E225" s="11" t="s">
        <v>144</v>
      </c>
      <c r="F225" s="11" t="s">
        <v>62</v>
      </c>
      <c r="G225" s="13"/>
      <c r="H225" s="11"/>
      <c r="I225" s="11" t="s">
        <v>121</v>
      </c>
      <c r="J225" s="11" t="s">
        <v>145</v>
      </c>
      <c r="K225" s="11" t="s">
        <v>679</v>
      </c>
      <c r="L225" s="11" t="s">
        <v>682</v>
      </c>
      <c r="M225" s="11"/>
      <c r="N225" s="11" t="s">
        <v>68</v>
      </c>
    </row>
    <row r="226" customFormat="false" ht="30" hidden="false" customHeight="true" outlineLevel="0" collapsed="false">
      <c r="A226" s="10" t="n">
        <v>225</v>
      </c>
      <c r="B226" s="10" t="s">
        <v>20</v>
      </c>
      <c r="C226" s="10" t="s">
        <v>644</v>
      </c>
      <c r="D226" s="10" t="s">
        <v>683</v>
      </c>
      <c r="E226" s="10" t="s">
        <v>220</v>
      </c>
      <c r="F226" s="10" t="s">
        <v>62</v>
      </c>
      <c r="G226" s="12"/>
      <c r="H226" s="10"/>
      <c r="I226" s="10" t="s">
        <v>121</v>
      </c>
      <c r="J226" s="10" t="s">
        <v>145</v>
      </c>
      <c r="K226" s="10" t="s">
        <v>679</v>
      </c>
      <c r="L226" s="10" t="s">
        <v>684</v>
      </c>
      <c r="M226" s="10" t="s">
        <v>685</v>
      </c>
      <c r="N226" s="10" t="s">
        <v>68</v>
      </c>
    </row>
    <row r="227" customFormat="false" ht="30" hidden="false" customHeight="true" outlineLevel="0" collapsed="false">
      <c r="A227" s="11" t="n">
        <v>226</v>
      </c>
      <c r="B227" s="11" t="s">
        <v>20</v>
      </c>
      <c r="C227" s="11" t="s">
        <v>651</v>
      </c>
      <c r="D227" s="11" t="s">
        <v>686</v>
      </c>
      <c r="E227" s="11" t="s">
        <v>687</v>
      </c>
      <c r="F227" s="11" t="s">
        <v>62</v>
      </c>
      <c r="G227" s="13"/>
      <c r="H227" s="11"/>
      <c r="I227" s="11" t="s">
        <v>121</v>
      </c>
      <c r="J227" s="11" t="s">
        <v>145</v>
      </c>
      <c r="K227" s="11" t="s">
        <v>679</v>
      </c>
      <c r="L227" s="11" t="s">
        <v>688</v>
      </c>
      <c r="M227" s="11"/>
      <c r="N227" s="11" t="s">
        <v>68</v>
      </c>
    </row>
    <row r="228" customFormat="false" ht="30" hidden="false" customHeight="true" outlineLevel="0" collapsed="false">
      <c r="A228" s="10" t="n">
        <v>227</v>
      </c>
      <c r="B228" s="10" t="s">
        <v>20</v>
      </c>
      <c r="C228" s="10" t="s">
        <v>651</v>
      </c>
      <c r="D228" s="10" t="s">
        <v>689</v>
      </c>
      <c r="E228" s="10" t="s">
        <v>144</v>
      </c>
      <c r="F228" s="10" t="s">
        <v>62</v>
      </c>
      <c r="G228" s="12"/>
      <c r="H228" s="10"/>
      <c r="I228" s="10" t="s">
        <v>121</v>
      </c>
      <c r="J228" s="10" t="s">
        <v>145</v>
      </c>
      <c r="K228" s="10" t="s">
        <v>679</v>
      </c>
      <c r="L228" s="10" t="s">
        <v>690</v>
      </c>
      <c r="M228" s="10"/>
      <c r="N228" s="10" t="s">
        <v>68</v>
      </c>
    </row>
    <row r="229" customFormat="false" ht="30" hidden="false" customHeight="true" outlineLevel="0" collapsed="false">
      <c r="A229" s="11" t="n">
        <v>228</v>
      </c>
      <c r="B229" s="11" t="s">
        <v>20</v>
      </c>
      <c r="C229" s="11" t="s">
        <v>651</v>
      </c>
      <c r="D229" s="11" t="s">
        <v>691</v>
      </c>
      <c r="E229" s="11" t="s">
        <v>176</v>
      </c>
      <c r="F229" s="11" t="s">
        <v>62</v>
      </c>
      <c r="G229" s="13"/>
      <c r="H229" s="11"/>
      <c r="I229" s="11" t="s">
        <v>121</v>
      </c>
      <c r="J229" s="11" t="s">
        <v>145</v>
      </c>
      <c r="K229" s="11" t="s">
        <v>679</v>
      </c>
      <c r="L229" s="11" t="s">
        <v>692</v>
      </c>
      <c r="M229" s="11"/>
      <c r="N229" s="11" t="s">
        <v>68</v>
      </c>
    </row>
    <row r="230" customFormat="false" ht="30" hidden="false" customHeight="true" outlineLevel="0" collapsed="false">
      <c r="A230" s="10" t="n">
        <v>229</v>
      </c>
      <c r="B230" s="10" t="s">
        <v>20</v>
      </c>
      <c r="C230" s="10" t="s">
        <v>651</v>
      </c>
      <c r="D230" s="10" t="s">
        <v>693</v>
      </c>
      <c r="E230" s="10" t="s">
        <v>144</v>
      </c>
      <c r="F230" s="10" t="s">
        <v>62</v>
      </c>
      <c r="G230" s="12"/>
      <c r="H230" s="10"/>
      <c r="I230" s="10" t="s">
        <v>121</v>
      </c>
      <c r="J230" s="10" t="s">
        <v>145</v>
      </c>
      <c r="K230" s="10" t="s">
        <v>679</v>
      </c>
      <c r="L230" s="10" t="s">
        <v>694</v>
      </c>
      <c r="M230" s="10"/>
      <c r="N230" s="10" t="s">
        <v>68</v>
      </c>
    </row>
    <row r="231" customFormat="false" ht="30" hidden="false" customHeight="true" outlineLevel="0" collapsed="false">
      <c r="A231" s="11" t="n">
        <v>230</v>
      </c>
      <c r="B231" s="11" t="s">
        <v>20</v>
      </c>
      <c r="C231" s="11" t="s">
        <v>651</v>
      </c>
      <c r="D231" s="11" t="s">
        <v>695</v>
      </c>
      <c r="E231" s="11" t="s">
        <v>144</v>
      </c>
      <c r="F231" s="11" t="s">
        <v>62</v>
      </c>
      <c r="G231" s="13"/>
      <c r="H231" s="11"/>
      <c r="I231" s="11" t="s">
        <v>121</v>
      </c>
      <c r="J231" s="11" t="s">
        <v>145</v>
      </c>
      <c r="K231" s="11" t="s">
        <v>679</v>
      </c>
      <c r="L231" s="11" t="s">
        <v>696</v>
      </c>
      <c r="M231" s="11"/>
      <c r="N231" s="11" t="s">
        <v>68</v>
      </c>
    </row>
    <row r="232" customFormat="false" ht="30" hidden="false" customHeight="true" outlineLevel="0" collapsed="false">
      <c r="A232" s="10" t="n">
        <v>231</v>
      </c>
      <c r="B232" s="10" t="s">
        <v>20</v>
      </c>
      <c r="C232" s="10" t="s">
        <v>651</v>
      </c>
      <c r="D232" s="10" t="s">
        <v>697</v>
      </c>
      <c r="E232" s="10" t="s">
        <v>475</v>
      </c>
      <c r="F232" s="10" t="s">
        <v>62</v>
      </c>
      <c r="G232" s="12"/>
      <c r="H232" s="10"/>
      <c r="I232" s="10" t="s">
        <v>121</v>
      </c>
      <c r="J232" s="10" t="s">
        <v>145</v>
      </c>
      <c r="K232" s="10" t="s">
        <v>679</v>
      </c>
      <c r="L232" s="10" t="s">
        <v>698</v>
      </c>
      <c r="M232" s="10"/>
      <c r="N232" s="10" t="s">
        <v>68</v>
      </c>
    </row>
    <row r="233" customFormat="false" ht="30" hidden="false" customHeight="true" outlineLevel="0" collapsed="false">
      <c r="A233" s="11" t="n">
        <v>232</v>
      </c>
      <c r="B233" s="11" t="s">
        <v>20</v>
      </c>
      <c r="C233" s="11" t="s">
        <v>651</v>
      </c>
      <c r="D233" s="11" t="s">
        <v>699</v>
      </c>
      <c r="E233" s="11" t="s">
        <v>700</v>
      </c>
      <c r="F233" s="11" t="s">
        <v>62</v>
      </c>
      <c r="G233" s="13"/>
      <c r="H233" s="11"/>
      <c r="I233" s="11" t="s">
        <v>121</v>
      </c>
      <c r="J233" s="11" t="s">
        <v>145</v>
      </c>
      <c r="K233" s="11" t="s">
        <v>679</v>
      </c>
      <c r="L233" s="11" t="s">
        <v>701</v>
      </c>
      <c r="M233" s="11"/>
      <c r="N233" s="11" t="s">
        <v>68</v>
      </c>
    </row>
    <row r="234" customFormat="false" ht="30" hidden="false" customHeight="true" outlineLevel="0" collapsed="false">
      <c r="A234" s="10" t="n">
        <v>233</v>
      </c>
      <c r="B234" s="10" t="s">
        <v>20</v>
      </c>
      <c r="C234" s="10" t="s">
        <v>651</v>
      </c>
      <c r="D234" s="10" t="s">
        <v>702</v>
      </c>
      <c r="E234" s="10" t="s">
        <v>673</v>
      </c>
      <c r="F234" s="10" t="s">
        <v>62</v>
      </c>
      <c r="G234" s="12"/>
      <c r="H234" s="10"/>
      <c r="I234" s="10" t="s">
        <v>170</v>
      </c>
      <c r="J234" s="10" t="s">
        <v>145</v>
      </c>
      <c r="K234" s="10" t="s">
        <v>679</v>
      </c>
      <c r="L234" s="10" t="s">
        <v>703</v>
      </c>
      <c r="M234" s="10"/>
      <c r="N234" s="10" t="s">
        <v>68</v>
      </c>
    </row>
    <row r="235" customFormat="false" ht="30" hidden="false" customHeight="true" outlineLevel="0" collapsed="false">
      <c r="A235" s="11" t="n">
        <v>234</v>
      </c>
      <c r="B235" s="11" t="s">
        <v>20</v>
      </c>
      <c r="C235" s="11" t="s">
        <v>651</v>
      </c>
      <c r="D235" s="11" t="s">
        <v>704</v>
      </c>
      <c r="E235" s="11" t="s">
        <v>144</v>
      </c>
      <c r="F235" s="11" t="s">
        <v>62</v>
      </c>
      <c r="G235" s="13"/>
      <c r="H235" s="11"/>
      <c r="I235" s="11" t="s">
        <v>170</v>
      </c>
      <c r="J235" s="11" t="s">
        <v>145</v>
      </c>
      <c r="K235" s="11" t="s">
        <v>679</v>
      </c>
      <c r="L235" s="11" t="s">
        <v>705</v>
      </c>
      <c r="M235" s="11"/>
      <c r="N235" s="11" t="s">
        <v>68</v>
      </c>
    </row>
    <row r="236" customFormat="false" ht="30" hidden="false" customHeight="true" outlineLevel="0" collapsed="false">
      <c r="A236" s="10" t="n">
        <v>235</v>
      </c>
      <c r="B236" s="10" t="s">
        <v>20</v>
      </c>
      <c r="C236" s="10" t="s">
        <v>651</v>
      </c>
      <c r="D236" s="10" t="s">
        <v>706</v>
      </c>
      <c r="E236" s="10" t="s">
        <v>187</v>
      </c>
      <c r="F236" s="10" t="s">
        <v>62</v>
      </c>
      <c r="G236" s="12"/>
      <c r="H236" s="10"/>
      <c r="I236" s="10" t="s">
        <v>63</v>
      </c>
      <c r="J236" s="10" t="s">
        <v>145</v>
      </c>
      <c r="K236" s="10" t="s">
        <v>679</v>
      </c>
      <c r="L236" s="10" t="s">
        <v>707</v>
      </c>
      <c r="M236" s="10"/>
      <c r="N236" s="10" t="s">
        <v>68</v>
      </c>
    </row>
    <row r="237" customFormat="false" ht="30" hidden="false" customHeight="true" outlineLevel="0" collapsed="false">
      <c r="A237" s="11" t="n">
        <v>236</v>
      </c>
      <c r="B237" s="11" t="s">
        <v>20</v>
      </c>
      <c r="C237" s="11" t="s">
        <v>708</v>
      </c>
      <c r="D237" s="11" t="s">
        <v>709</v>
      </c>
      <c r="E237" s="11" t="s">
        <v>184</v>
      </c>
      <c r="F237" s="11" t="s">
        <v>62</v>
      </c>
      <c r="G237" s="13"/>
      <c r="H237" s="11"/>
      <c r="I237" s="11" t="s">
        <v>63</v>
      </c>
      <c r="J237" s="11" t="s">
        <v>145</v>
      </c>
      <c r="K237" s="11" t="s">
        <v>679</v>
      </c>
      <c r="L237" s="11" t="s">
        <v>710</v>
      </c>
      <c r="M237" s="11"/>
      <c r="N237" s="11" t="s">
        <v>68</v>
      </c>
    </row>
    <row r="238" customFormat="false" ht="30" hidden="false" customHeight="true" outlineLevel="0" collapsed="false">
      <c r="A238" s="10" t="n">
        <v>237</v>
      </c>
      <c r="B238" s="10" t="s">
        <v>20</v>
      </c>
      <c r="C238" s="10" t="s">
        <v>638</v>
      </c>
      <c r="D238" s="10" t="s">
        <v>711</v>
      </c>
      <c r="E238" s="10" t="s">
        <v>217</v>
      </c>
      <c r="F238" s="10" t="s">
        <v>62</v>
      </c>
      <c r="G238" s="12"/>
      <c r="H238" s="10"/>
      <c r="I238" s="10" t="s">
        <v>121</v>
      </c>
      <c r="J238" s="10" t="s">
        <v>145</v>
      </c>
      <c r="K238" s="10" t="s">
        <v>679</v>
      </c>
      <c r="L238" s="10" t="s">
        <v>712</v>
      </c>
      <c r="M238" s="10"/>
      <c r="N238" s="10" t="s">
        <v>68</v>
      </c>
    </row>
    <row r="239" customFormat="false" ht="30" hidden="false" customHeight="true" outlineLevel="0" collapsed="false">
      <c r="A239" s="11" t="n">
        <v>238</v>
      </c>
      <c r="B239" s="11" t="s">
        <v>20</v>
      </c>
      <c r="C239" s="11" t="s">
        <v>651</v>
      </c>
      <c r="D239" s="11" t="s">
        <v>713</v>
      </c>
      <c r="E239" s="11" t="s">
        <v>217</v>
      </c>
      <c r="F239" s="11" t="s">
        <v>62</v>
      </c>
      <c r="G239" s="13"/>
      <c r="H239" s="11"/>
      <c r="I239" s="11" t="s">
        <v>121</v>
      </c>
      <c r="J239" s="11" t="s">
        <v>145</v>
      </c>
      <c r="K239" s="11" t="s">
        <v>679</v>
      </c>
      <c r="L239" s="11" t="s">
        <v>714</v>
      </c>
      <c r="M239" s="11"/>
      <c r="N239" s="11" t="s">
        <v>68</v>
      </c>
    </row>
    <row r="240" customFormat="false" ht="30" hidden="false" customHeight="true" outlineLevel="0" collapsed="false">
      <c r="A240" s="10" t="n">
        <v>239</v>
      </c>
      <c r="B240" s="10" t="s">
        <v>20</v>
      </c>
      <c r="C240" s="10" t="s">
        <v>651</v>
      </c>
      <c r="D240" s="10" t="s">
        <v>715</v>
      </c>
      <c r="E240" s="10" t="s">
        <v>716</v>
      </c>
      <c r="F240" s="10" t="s">
        <v>62</v>
      </c>
      <c r="G240" s="12"/>
      <c r="H240" s="10"/>
      <c r="I240" s="10" t="s">
        <v>121</v>
      </c>
      <c r="J240" s="10" t="s">
        <v>145</v>
      </c>
      <c r="K240" s="10" t="s">
        <v>679</v>
      </c>
      <c r="L240" s="10" t="s">
        <v>717</v>
      </c>
      <c r="M240" s="10"/>
      <c r="N240" s="10" t="s">
        <v>68</v>
      </c>
    </row>
    <row r="241" customFormat="false" ht="30" hidden="false" customHeight="true" outlineLevel="0" collapsed="false">
      <c r="A241" s="11" t="n">
        <v>240</v>
      </c>
      <c r="B241" s="11" t="s">
        <v>20</v>
      </c>
      <c r="C241" s="11" t="s">
        <v>651</v>
      </c>
      <c r="D241" s="11" t="s">
        <v>718</v>
      </c>
      <c r="E241" s="11" t="s">
        <v>197</v>
      </c>
      <c r="F241" s="11" t="s">
        <v>62</v>
      </c>
      <c r="G241" s="13"/>
      <c r="H241" s="11"/>
      <c r="I241" s="11" t="s">
        <v>121</v>
      </c>
      <c r="J241" s="11" t="s">
        <v>145</v>
      </c>
      <c r="K241" s="11" t="s">
        <v>679</v>
      </c>
      <c r="L241" s="11" t="s">
        <v>719</v>
      </c>
      <c r="M241" s="11"/>
      <c r="N241" s="11" t="s">
        <v>68</v>
      </c>
    </row>
    <row r="242" customFormat="false" ht="30" hidden="false" customHeight="true" outlineLevel="0" collapsed="false">
      <c r="A242" s="10" t="n">
        <v>241</v>
      </c>
      <c r="B242" s="10" t="s">
        <v>20</v>
      </c>
      <c r="C242" s="10" t="s">
        <v>638</v>
      </c>
      <c r="D242" s="10" t="s">
        <v>720</v>
      </c>
      <c r="E242" s="10" t="s">
        <v>721</v>
      </c>
      <c r="F242" s="10" t="s">
        <v>62</v>
      </c>
      <c r="G242" s="12"/>
      <c r="H242" s="10"/>
      <c r="I242" s="10" t="s">
        <v>121</v>
      </c>
      <c r="J242" s="10" t="s">
        <v>145</v>
      </c>
      <c r="K242" s="10" t="s">
        <v>679</v>
      </c>
      <c r="L242" s="10" t="s">
        <v>722</v>
      </c>
      <c r="M242" s="10"/>
      <c r="N242" s="10" t="s">
        <v>68</v>
      </c>
    </row>
    <row r="243" customFormat="false" ht="30" hidden="false" customHeight="true" outlineLevel="0" collapsed="false">
      <c r="A243" s="11" t="n">
        <v>242</v>
      </c>
      <c r="B243" s="11" t="s">
        <v>20</v>
      </c>
      <c r="C243" s="11" t="s">
        <v>638</v>
      </c>
      <c r="D243" s="11" t="s">
        <v>723</v>
      </c>
      <c r="E243" s="11" t="s">
        <v>724</v>
      </c>
      <c r="F243" s="11" t="s">
        <v>62</v>
      </c>
      <c r="G243" s="13"/>
      <c r="H243" s="11"/>
      <c r="I243" s="11" t="s">
        <v>121</v>
      </c>
      <c r="J243" s="11" t="s">
        <v>145</v>
      </c>
      <c r="K243" s="11" t="s">
        <v>679</v>
      </c>
      <c r="L243" s="11" t="s">
        <v>725</v>
      </c>
      <c r="M243" s="11"/>
      <c r="N243" s="11" t="s">
        <v>68</v>
      </c>
    </row>
    <row r="244" customFormat="false" ht="30" hidden="false" customHeight="true" outlineLevel="0" collapsed="false">
      <c r="A244" s="10" t="n">
        <v>243</v>
      </c>
      <c r="B244" s="10" t="s">
        <v>20</v>
      </c>
      <c r="C244" s="10" t="s">
        <v>651</v>
      </c>
      <c r="D244" s="10" t="s">
        <v>726</v>
      </c>
      <c r="E244" s="10" t="s">
        <v>727</v>
      </c>
      <c r="F244" s="10" t="s">
        <v>62</v>
      </c>
      <c r="G244" s="12"/>
      <c r="H244" s="10"/>
      <c r="I244" s="10" t="s">
        <v>121</v>
      </c>
      <c r="J244" s="10" t="s">
        <v>145</v>
      </c>
      <c r="K244" s="10" t="s">
        <v>679</v>
      </c>
      <c r="L244" s="10" t="s">
        <v>728</v>
      </c>
      <c r="M244" s="10"/>
      <c r="N244" s="10" t="s">
        <v>68</v>
      </c>
    </row>
    <row r="245" customFormat="false" ht="30" hidden="false" customHeight="true" outlineLevel="0" collapsed="false">
      <c r="A245" s="11" t="n">
        <v>244</v>
      </c>
      <c r="B245" s="11" t="s">
        <v>20</v>
      </c>
      <c r="C245" s="11" t="s">
        <v>651</v>
      </c>
      <c r="D245" s="11" t="s">
        <v>729</v>
      </c>
      <c r="E245" s="11" t="s">
        <v>730</v>
      </c>
      <c r="F245" s="11" t="s">
        <v>62</v>
      </c>
      <c r="G245" s="13"/>
      <c r="H245" s="11"/>
      <c r="I245" s="11" t="s">
        <v>121</v>
      </c>
      <c r="J245" s="11" t="s">
        <v>145</v>
      </c>
      <c r="K245" s="11" t="s">
        <v>679</v>
      </c>
      <c r="L245" s="11" t="s">
        <v>731</v>
      </c>
      <c r="M245" s="11"/>
      <c r="N245" s="11" t="s">
        <v>68</v>
      </c>
    </row>
    <row r="246" customFormat="false" ht="30" hidden="false" customHeight="true" outlineLevel="0" collapsed="false">
      <c r="A246" s="10" t="n">
        <v>245</v>
      </c>
      <c r="B246" s="10" t="s">
        <v>20</v>
      </c>
      <c r="C246" s="10" t="s">
        <v>651</v>
      </c>
      <c r="D246" s="10" t="s">
        <v>732</v>
      </c>
      <c r="E246" s="10" t="s">
        <v>249</v>
      </c>
      <c r="F246" s="10" t="s">
        <v>62</v>
      </c>
      <c r="G246" s="12"/>
      <c r="H246" s="10"/>
      <c r="I246" s="10" t="s">
        <v>121</v>
      </c>
      <c r="J246" s="10" t="s">
        <v>145</v>
      </c>
      <c r="K246" s="10" t="s">
        <v>679</v>
      </c>
      <c r="L246" s="10" t="s">
        <v>733</v>
      </c>
      <c r="M246" s="10"/>
      <c r="N246" s="10" t="s">
        <v>68</v>
      </c>
    </row>
    <row r="247" customFormat="false" ht="30" hidden="false" customHeight="true" outlineLevel="0" collapsed="false">
      <c r="A247" s="11" t="n">
        <v>246</v>
      </c>
      <c r="B247" s="11" t="s">
        <v>20</v>
      </c>
      <c r="C247" s="11" t="s">
        <v>651</v>
      </c>
      <c r="D247" s="11" t="s">
        <v>734</v>
      </c>
      <c r="E247" s="11" t="s">
        <v>249</v>
      </c>
      <c r="F247" s="11" t="s">
        <v>62</v>
      </c>
      <c r="G247" s="13"/>
      <c r="H247" s="11"/>
      <c r="I247" s="11" t="s">
        <v>170</v>
      </c>
      <c r="J247" s="11" t="s">
        <v>145</v>
      </c>
      <c r="K247" s="11" t="s">
        <v>679</v>
      </c>
      <c r="L247" s="11" t="s">
        <v>735</v>
      </c>
      <c r="M247" s="11"/>
      <c r="N247" s="11" t="s">
        <v>68</v>
      </c>
    </row>
    <row r="248" customFormat="false" ht="30" hidden="false" customHeight="true" outlineLevel="0" collapsed="false">
      <c r="A248" s="10" t="n">
        <v>247</v>
      </c>
      <c r="B248" s="10" t="s">
        <v>20</v>
      </c>
      <c r="C248" s="10" t="s">
        <v>651</v>
      </c>
      <c r="D248" s="10" t="s">
        <v>736</v>
      </c>
      <c r="E248" s="10" t="s">
        <v>737</v>
      </c>
      <c r="F248" s="10" t="s">
        <v>62</v>
      </c>
      <c r="G248" s="12"/>
      <c r="H248" s="10"/>
      <c r="I248" s="10" t="s">
        <v>121</v>
      </c>
      <c r="J248" s="10" t="s">
        <v>145</v>
      </c>
      <c r="K248" s="10" t="s">
        <v>679</v>
      </c>
      <c r="L248" s="10" t="s">
        <v>738</v>
      </c>
      <c r="M248" s="10"/>
      <c r="N248" s="10" t="s">
        <v>68</v>
      </c>
    </row>
    <row r="249" customFormat="false" ht="30" hidden="false" customHeight="true" outlineLevel="0" collapsed="false">
      <c r="A249" s="11" t="n">
        <v>248</v>
      </c>
      <c r="B249" s="11" t="s">
        <v>20</v>
      </c>
      <c r="C249" s="11" t="s">
        <v>651</v>
      </c>
      <c r="D249" s="11" t="s">
        <v>739</v>
      </c>
      <c r="E249" s="11" t="s">
        <v>205</v>
      </c>
      <c r="F249" s="11" t="s">
        <v>62</v>
      </c>
      <c r="G249" s="13"/>
      <c r="H249" s="11"/>
      <c r="I249" s="11" t="s">
        <v>121</v>
      </c>
      <c r="J249" s="11" t="s">
        <v>145</v>
      </c>
      <c r="K249" s="11" t="s">
        <v>679</v>
      </c>
      <c r="L249" s="11" t="s">
        <v>740</v>
      </c>
      <c r="M249" s="11"/>
      <c r="N249" s="11" t="s">
        <v>68</v>
      </c>
    </row>
    <row r="250" customFormat="false" ht="30" hidden="false" customHeight="true" outlineLevel="0" collapsed="false">
      <c r="A250" s="10" t="n">
        <v>249</v>
      </c>
      <c r="B250" s="10" t="s">
        <v>20</v>
      </c>
      <c r="C250" s="10" t="s">
        <v>651</v>
      </c>
      <c r="D250" s="10" t="s">
        <v>741</v>
      </c>
      <c r="E250" s="10" t="s">
        <v>205</v>
      </c>
      <c r="F250" s="10" t="s">
        <v>62</v>
      </c>
      <c r="G250" s="12"/>
      <c r="H250" s="10"/>
      <c r="I250" s="10" t="s">
        <v>121</v>
      </c>
      <c r="J250" s="10" t="s">
        <v>145</v>
      </c>
      <c r="K250" s="10" t="s">
        <v>679</v>
      </c>
      <c r="L250" s="10" t="s">
        <v>742</v>
      </c>
      <c r="M250" s="10" t="s">
        <v>743</v>
      </c>
      <c r="N250" s="10" t="s">
        <v>68</v>
      </c>
    </row>
    <row r="251" customFormat="false" ht="30" hidden="false" customHeight="true" outlineLevel="0" collapsed="false">
      <c r="A251" s="11" t="n">
        <v>250</v>
      </c>
      <c r="B251" s="11" t="s">
        <v>20</v>
      </c>
      <c r="C251" s="11" t="s">
        <v>651</v>
      </c>
      <c r="D251" s="11" t="s">
        <v>744</v>
      </c>
      <c r="E251" s="11" t="s">
        <v>745</v>
      </c>
      <c r="F251" s="11" t="s">
        <v>62</v>
      </c>
      <c r="G251" s="13"/>
      <c r="H251" s="11"/>
      <c r="I251" s="11" t="s">
        <v>121</v>
      </c>
      <c r="J251" s="11" t="s">
        <v>145</v>
      </c>
      <c r="K251" s="11" t="s">
        <v>679</v>
      </c>
      <c r="L251" s="11" t="s">
        <v>746</v>
      </c>
      <c r="M251" s="11"/>
      <c r="N251" s="11" t="s">
        <v>68</v>
      </c>
    </row>
    <row r="252" customFormat="false" ht="30" hidden="false" customHeight="true" outlineLevel="0" collapsed="false">
      <c r="A252" s="10" t="n">
        <v>251</v>
      </c>
      <c r="B252" s="10" t="s">
        <v>20</v>
      </c>
      <c r="C252" s="10" t="s">
        <v>651</v>
      </c>
      <c r="D252" s="10" t="s">
        <v>747</v>
      </c>
      <c r="E252" s="10" t="s">
        <v>748</v>
      </c>
      <c r="F252" s="10" t="s">
        <v>62</v>
      </c>
      <c r="G252" s="12"/>
      <c r="H252" s="10"/>
      <c r="I252" s="10" t="s">
        <v>121</v>
      </c>
      <c r="J252" s="10" t="s">
        <v>145</v>
      </c>
      <c r="K252" s="10" t="s">
        <v>679</v>
      </c>
      <c r="L252" s="10" t="s">
        <v>749</v>
      </c>
      <c r="M252" s="10" t="s">
        <v>750</v>
      </c>
      <c r="N252" s="10" t="s">
        <v>68</v>
      </c>
    </row>
    <row r="253" customFormat="false" ht="30" hidden="false" customHeight="true" outlineLevel="0" collapsed="false">
      <c r="A253" s="11" t="n">
        <v>252</v>
      </c>
      <c r="B253" s="11" t="s">
        <v>28</v>
      </c>
      <c r="C253" s="11" t="s">
        <v>751</v>
      </c>
      <c r="D253" s="11" t="s">
        <v>752</v>
      </c>
      <c r="E253" s="11" t="s">
        <v>144</v>
      </c>
      <c r="F253" s="11" t="s">
        <v>62</v>
      </c>
      <c r="G253" s="13"/>
      <c r="H253" s="11"/>
      <c r="I253" s="11" t="s">
        <v>121</v>
      </c>
      <c r="J253" s="11" t="s">
        <v>145</v>
      </c>
      <c r="K253" s="11" t="s">
        <v>753</v>
      </c>
      <c r="L253" s="11" t="s">
        <v>754</v>
      </c>
      <c r="M253" s="11" t="s">
        <v>755</v>
      </c>
      <c r="N253" s="11" t="s">
        <v>68</v>
      </c>
    </row>
    <row r="254" customFormat="false" ht="30" hidden="false" customHeight="true" outlineLevel="0" collapsed="false">
      <c r="A254" s="10" t="n">
        <v>253</v>
      </c>
      <c r="B254" s="10" t="s">
        <v>28</v>
      </c>
      <c r="C254" s="10" t="s">
        <v>751</v>
      </c>
      <c r="D254" s="10" t="s">
        <v>756</v>
      </c>
      <c r="E254" s="10" t="s">
        <v>144</v>
      </c>
      <c r="F254" s="10" t="s">
        <v>62</v>
      </c>
      <c r="G254" s="12"/>
      <c r="H254" s="10"/>
      <c r="I254" s="10" t="s">
        <v>121</v>
      </c>
      <c r="J254" s="10" t="s">
        <v>145</v>
      </c>
      <c r="K254" s="10" t="s">
        <v>753</v>
      </c>
      <c r="L254" s="10" t="s">
        <v>757</v>
      </c>
      <c r="M254" s="10"/>
      <c r="N254" s="10" t="s">
        <v>68</v>
      </c>
    </row>
    <row r="255" customFormat="false" ht="30" hidden="false" customHeight="true" outlineLevel="0" collapsed="false">
      <c r="A255" s="11" t="n">
        <v>254</v>
      </c>
      <c r="B255" s="11" t="s">
        <v>28</v>
      </c>
      <c r="C255" s="11" t="s">
        <v>751</v>
      </c>
      <c r="D255" s="11" t="s">
        <v>758</v>
      </c>
      <c r="E255" s="11" t="s">
        <v>759</v>
      </c>
      <c r="F255" s="11" t="s">
        <v>62</v>
      </c>
      <c r="G255" s="13"/>
      <c r="H255" s="11"/>
      <c r="I255" s="11" t="s">
        <v>121</v>
      </c>
      <c r="J255" s="11" t="s">
        <v>145</v>
      </c>
      <c r="K255" s="11" t="s">
        <v>753</v>
      </c>
      <c r="L255" s="11" t="s">
        <v>760</v>
      </c>
      <c r="M255" s="11" t="s">
        <v>761</v>
      </c>
      <c r="N255" s="11" t="s">
        <v>68</v>
      </c>
    </row>
    <row r="256" customFormat="false" ht="30" hidden="false" customHeight="true" outlineLevel="0" collapsed="false">
      <c r="A256" s="10" t="n">
        <v>255</v>
      </c>
      <c r="B256" s="10" t="s">
        <v>28</v>
      </c>
      <c r="C256" s="10" t="s">
        <v>751</v>
      </c>
      <c r="D256" s="10" t="s">
        <v>762</v>
      </c>
      <c r="E256" s="10" t="s">
        <v>673</v>
      </c>
      <c r="F256" s="10" t="s">
        <v>62</v>
      </c>
      <c r="G256" s="12"/>
      <c r="H256" s="10"/>
      <c r="I256" s="10" t="s">
        <v>121</v>
      </c>
      <c r="J256" s="10" t="s">
        <v>145</v>
      </c>
      <c r="K256" s="10" t="s">
        <v>753</v>
      </c>
      <c r="L256" s="10" t="s">
        <v>763</v>
      </c>
      <c r="M256" s="10"/>
      <c r="N256" s="10" t="s">
        <v>68</v>
      </c>
    </row>
    <row r="257" customFormat="false" ht="30" hidden="false" customHeight="true" outlineLevel="0" collapsed="false">
      <c r="A257" s="11" t="n">
        <v>256</v>
      </c>
      <c r="B257" s="11" t="s">
        <v>28</v>
      </c>
      <c r="C257" s="11" t="s">
        <v>751</v>
      </c>
      <c r="D257" s="11" t="s">
        <v>764</v>
      </c>
      <c r="E257" s="11" t="s">
        <v>765</v>
      </c>
      <c r="F257" s="11" t="s">
        <v>62</v>
      </c>
      <c r="G257" s="13"/>
      <c r="H257" s="11"/>
      <c r="I257" s="11" t="s">
        <v>121</v>
      </c>
      <c r="J257" s="11" t="s">
        <v>145</v>
      </c>
      <c r="K257" s="11" t="s">
        <v>753</v>
      </c>
      <c r="L257" s="11" t="s">
        <v>766</v>
      </c>
      <c r="M257" s="11" t="s">
        <v>767</v>
      </c>
      <c r="N257" s="11" t="s">
        <v>68</v>
      </c>
    </row>
    <row r="258" customFormat="false" ht="30" hidden="false" customHeight="true" outlineLevel="0" collapsed="false">
      <c r="A258" s="10" t="n">
        <v>257</v>
      </c>
      <c r="B258" s="10" t="s">
        <v>28</v>
      </c>
      <c r="C258" s="10" t="s">
        <v>768</v>
      </c>
      <c r="D258" s="10" t="s">
        <v>769</v>
      </c>
      <c r="E258" s="10" t="s">
        <v>770</v>
      </c>
      <c r="F258" s="10" t="s">
        <v>62</v>
      </c>
      <c r="G258" s="12"/>
      <c r="H258" s="10"/>
      <c r="I258" s="10" t="s">
        <v>121</v>
      </c>
      <c r="J258" s="10" t="s">
        <v>145</v>
      </c>
      <c r="K258" s="10" t="s">
        <v>753</v>
      </c>
      <c r="L258" s="10" t="s">
        <v>771</v>
      </c>
      <c r="M258" s="10" t="s">
        <v>772</v>
      </c>
      <c r="N258" s="10" t="s">
        <v>68</v>
      </c>
    </row>
    <row r="259" customFormat="false" ht="30" hidden="false" customHeight="true" outlineLevel="0" collapsed="false">
      <c r="A259" s="11" t="n">
        <v>258</v>
      </c>
      <c r="B259" s="11" t="s">
        <v>28</v>
      </c>
      <c r="C259" s="11" t="s">
        <v>751</v>
      </c>
      <c r="D259" s="11" t="s">
        <v>773</v>
      </c>
      <c r="E259" s="11" t="s">
        <v>71</v>
      </c>
      <c r="F259" s="11" t="s">
        <v>62</v>
      </c>
      <c r="G259" s="13" t="n">
        <v>2.7</v>
      </c>
      <c r="H259" s="11" t="n">
        <v>4</v>
      </c>
      <c r="I259" s="11" t="s">
        <v>121</v>
      </c>
      <c r="J259" s="11" t="s">
        <v>64</v>
      </c>
      <c r="K259" s="11" t="s">
        <v>774</v>
      </c>
      <c r="L259" s="11" t="s">
        <v>775</v>
      </c>
      <c r="M259" s="11" t="s">
        <v>776</v>
      </c>
      <c r="N259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48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2" min="11" style="0" width="44"/>
    <col collapsed="false" customWidth="true" hidden="false" outlineLevel="0" max="13" min="13" style="0" width="46"/>
    <col collapsed="false" customWidth="true" hidden="false" outlineLevel="0" max="14" min="14" style="0" width="12"/>
  </cols>
  <sheetData>
    <row r="1" customFormat="false" ht="27.75" hidden="false" customHeight="true" outlineLevel="0" collapsed="false">
      <c r="A1" s="9" t="s">
        <v>47</v>
      </c>
      <c r="B1" s="9" t="s">
        <v>6</v>
      </c>
      <c r="C1" s="9" t="s">
        <v>48</v>
      </c>
      <c r="D1" s="9" t="s">
        <v>777</v>
      </c>
      <c r="E1" s="9" t="s">
        <v>778</v>
      </c>
      <c r="F1" s="9" t="s">
        <v>52</v>
      </c>
      <c r="G1" s="9" t="s">
        <v>53</v>
      </c>
      <c r="H1" s="9" t="s">
        <v>779</v>
      </c>
      <c r="I1" s="9" t="s">
        <v>25</v>
      </c>
      <c r="J1" s="9" t="s">
        <v>780</v>
      </c>
      <c r="K1" s="9" t="s">
        <v>55</v>
      </c>
      <c r="L1" s="9" t="s">
        <v>56</v>
      </c>
      <c r="M1" s="9" t="s">
        <v>57</v>
      </c>
      <c r="N1" s="9" t="s">
        <v>58</v>
      </c>
    </row>
    <row r="2" customFormat="false" ht="31.5" hidden="false" customHeight="true" outlineLevel="0" collapsed="false">
      <c r="A2" s="10" t="n">
        <v>1</v>
      </c>
      <c r="B2" s="10" t="s">
        <v>24</v>
      </c>
      <c r="C2" s="10" t="s">
        <v>69</v>
      </c>
      <c r="D2" s="10" t="s">
        <v>781</v>
      </c>
      <c r="E2" s="10" t="s">
        <v>782</v>
      </c>
      <c r="F2" s="12" t="n">
        <v>4.5</v>
      </c>
      <c r="G2" s="10" t="n">
        <v>681</v>
      </c>
      <c r="H2" s="10" t="s">
        <v>783</v>
      </c>
      <c r="I2" s="10" t="s">
        <v>63</v>
      </c>
      <c r="J2" s="10" t="s">
        <v>784</v>
      </c>
      <c r="K2" s="10" t="s">
        <v>785</v>
      </c>
      <c r="L2" s="10" t="s">
        <v>786</v>
      </c>
      <c r="M2" s="10" t="s">
        <v>787</v>
      </c>
      <c r="N2" s="10" t="s">
        <v>68</v>
      </c>
    </row>
    <row r="3" customFormat="false" ht="31.5" hidden="false" customHeight="true" outlineLevel="0" collapsed="false">
      <c r="A3" s="11" t="n">
        <v>2</v>
      </c>
      <c r="B3" s="11" t="s">
        <v>24</v>
      </c>
      <c r="C3" s="11" t="s">
        <v>69</v>
      </c>
      <c r="D3" s="11" t="s">
        <v>788</v>
      </c>
      <c r="E3" s="11" t="s">
        <v>789</v>
      </c>
      <c r="F3" s="13" t="n">
        <v>4.9</v>
      </c>
      <c r="G3" s="11" t="n">
        <v>551</v>
      </c>
      <c r="H3" s="11" t="s">
        <v>790</v>
      </c>
      <c r="I3" s="11" t="s">
        <v>63</v>
      </c>
      <c r="J3" s="11" t="s">
        <v>784</v>
      </c>
      <c r="K3" s="11" t="s">
        <v>785</v>
      </c>
      <c r="L3" s="11" t="s">
        <v>791</v>
      </c>
      <c r="M3" s="11" t="s">
        <v>792</v>
      </c>
      <c r="N3" s="11" t="s">
        <v>68</v>
      </c>
    </row>
    <row r="4" customFormat="false" ht="31.5" hidden="false" customHeight="true" outlineLevel="0" collapsed="false">
      <c r="A4" s="10" t="n">
        <v>3</v>
      </c>
      <c r="B4" s="10" t="s">
        <v>24</v>
      </c>
      <c r="C4" s="10" t="s">
        <v>69</v>
      </c>
      <c r="D4" s="10" t="s">
        <v>793</v>
      </c>
      <c r="E4" s="10" t="s">
        <v>794</v>
      </c>
      <c r="F4" s="12" t="n">
        <v>4.3</v>
      </c>
      <c r="G4" s="10" t="n">
        <v>594</v>
      </c>
      <c r="H4" s="10" t="s">
        <v>795</v>
      </c>
      <c r="I4" s="10" t="s">
        <v>63</v>
      </c>
      <c r="J4" s="10" t="s">
        <v>784</v>
      </c>
      <c r="K4" s="10" t="s">
        <v>785</v>
      </c>
      <c r="L4" s="10" t="s">
        <v>796</v>
      </c>
      <c r="M4" s="10" t="s">
        <v>797</v>
      </c>
      <c r="N4" s="10" t="s">
        <v>68</v>
      </c>
    </row>
    <row r="5" customFormat="false" ht="31.5" hidden="false" customHeight="true" outlineLevel="0" collapsed="false">
      <c r="A5" s="11" t="n">
        <v>4</v>
      </c>
      <c r="B5" s="11" t="s">
        <v>24</v>
      </c>
      <c r="C5" s="11" t="s">
        <v>69</v>
      </c>
      <c r="D5" s="11" t="s">
        <v>798</v>
      </c>
      <c r="E5" s="11" t="s">
        <v>799</v>
      </c>
      <c r="F5" s="13" t="n">
        <v>4.5</v>
      </c>
      <c r="G5" s="11" t="n">
        <v>17</v>
      </c>
      <c r="H5" s="11" t="s">
        <v>800</v>
      </c>
      <c r="I5" s="11" t="s">
        <v>63</v>
      </c>
      <c r="J5" s="11" t="s">
        <v>784</v>
      </c>
      <c r="K5" s="11" t="s">
        <v>785</v>
      </c>
      <c r="L5" s="11" t="s">
        <v>801</v>
      </c>
      <c r="M5" s="11"/>
      <c r="N5" s="11" t="s">
        <v>68</v>
      </c>
    </row>
    <row r="6" customFormat="false" ht="31.5" hidden="false" customHeight="true" outlineLevel="0" collapsed="false">
      <c r="A6" s="10" t="n">
        <v>5</v>
      </c>
      <c r="B6" s="10" t="s">
        <v>24</v>
      </c>
      <c r="C6" s="10" t="s">
        <v>69</v>
      </c>
      <c r="D6" s="10" t="s">
        <v>802</v>
      </c>
      <c r="E6" s="10" t="s">
        <v>803</v>
      </c>
      <c r="F6" s="12" t="n">
        <v>4.6</v>
      </c>
      <c r="G6" s="10" t="n">
        <v>57</v>
      </c>
      <c r="H6" s="10" t="s">
        <v>804</v>
      </c>
      <c r="I6" s="10" t="s">
        <v>63</v>
      </c>
      <c r="J6" s="10" t="s">
        <v>784</v>
      </c>
      <c r="K6" s="10" t="s">
        <v>785</v>
      </c>
      <c r="L6" s="10" t="s">
        <v>805</v>
      </c>
      <c r="M6" s="10"/>
      <c r="N6" s="10" t="s">
        <v>68</v>
      </c>
    </row>
    <row r="7" customFormat="false" ht="31.5" hidden="false" customHeight="true" outlineLevel="0" collapsed="false">
      <c r="A7" s="11" t="n">
        <v>6</v>
      </c>
      <c r="B7" s="11" t="s">
        <v>24</v>
      </c>
      <c r="C7" s="11" t="s">
        <v>99</v>
      </c>
      <c r="D7" s="11" t="s">
        <v>806</v>
      </c>
      <c r="E7" s="11" t="s">
        <v>807</v>
      </c>
      <c r="F7" s="13" t="n">
        <v>4.7</v>
      </c>
      <c r="G7" s="11" t="n">
        <v>65</v>
      </c>
      <c r="H7" s="11" t="s">
        <v>808</v>
      </c>
      <c r="I7" s="11" t="s">
        <v>63</v>
      </c>
      <c r="J7" s="11" t="s">
        <v>784</v>
      </c>
      <c r="K7" s="11" t="s">
        <v>785</v>
      </c>
      <c r="L7" s="11" t="s">
        <v>809</v>
      </c>
      <c r="M7" s="11" t="s">
        <v>810</v>
      </c>
      <c r="N7" s="11" t="s">
        <v>68</v>
      </c>
    </row>
    <row r="8" customFormat="false" ht="31.5" hidden="false" customHeight="true" outlineLevel="0" collapsed="false">
      <c r="A8" s="10" t="n">
        <v>7</v>
      </c>
      <c r="B8" s="10" t="s">
        <v>24</v>
      </c>
      <c r="C8" s="10" t="s">
        <v>69</v>
      </c>
      <c r="D8" s="10" t="s">
        <v>811</v>
      </c>
      <c r="E8" s="10" t="s">
        <v>812</v>
      </c>
      <c r="F8" s="12" t="n">
        <v>5</v>
      </c>
      <c r="G8" s="10" t="n">
        <v>22</v>
      </c>
      <c r="H8" s="10" t="s">
        <v>813</v>
      </c>
      <c r="I8" s="10" t="s">
        <v>63</v>
      </c>
      <c r="J8" s="10" t="s">
        <v>784</v>
      </c>
      <c r="K8" s="10" t="s">
        <v>785</v>
      </c>
      <c r="L8" s="10" t="s">
        <v>814</v>
      </c>
      <c r="M8" s="10"/>
      <c r="N8" s="10" t="s">
        <v>68</v>
      </c>
    </row>
    <row r="9" customFormat="false" ht="31.5" hidden="false" customHeight="true" outlineLevel="0" collapsed="false">
      <c r="A9" s="11" t="n">
        <v>8</v>
      </c>
      <c r="B9" s="11" t="s">
        <v>24</v>
      </c>
      <c r="C9" s="11" t="s">
        <v>69</v>
      </c>
      <c r="D9" s="11" t="s">
        <v>815</v>
      </c>
      <c r="E9" s="11" t="s">
        <v>816</v>
      </c>
      <c r="F9" s="13" t="n">
        <v>5</v>
      </c>
      <c r="G9" s="11" t="n">
        <v>12</v>
      </c>
      <c r="H9" s="11" t="s">
        <v>817</v>
      </c>
      <c r="I9" s="11" t="s">
        <v>63</v>
      </c>
      <c r="J9" s="11" t="s">
        <v>784</v>
      </c>
      <c r="K9" s="11" t="s">
        <v>785</v>
      </c>
      <c r="L9" s="11" t="s">
        <v>818</v>
      </c>
      <c r="M9" s="11"/>
      <c r="N9" s="11" t="s">
        <v>68</v>
      </c>
    </row>
    <row r="10" customFormat="false" ht="31.5" hidden="false" customHeight="true" outlineLevel="0" collapsed="false">
      <c r="A10" s="10" t="n">
        <v>9</v>
      </c>
      <c r="B10" s="10" t="s">
        <v>24</v>
      </c>
      <c r="C10" s="10" t="s">
        <v>69</v>
      </c>
      <c r="D10" s="10" t="s">
        <v>819</v>
      </c>
      <c r="E10" s="10" t="s">
        <v>789</v>
      </c>
      <c r="F10" s="12" t="n">
        <v>5</v>
      </c>
      <c r="G10" s="10" t="n">
        <v>6</v>
      </c>
      <c r="H10" s="10" t="s">
        <v>820</v>
      </c>
      <c r="I10" s="10" t="s">
        <v>121</v>
      </c>
      <c r="J10" s="10" t="s">
        <v>784</v>
      </c>
      <c r="K10" s="10" t="s">
        <v>785</v>
      </c>
      <c r="L10" s="10" t="s">
        <v>821</v>
      </c>
      <c r="M10" s="10"/>
      <c r="N10" s="10" t="s">
        <v>68</v>
      </c>
    </row>
    <row r="11" customFormat="false" ht="31.5" hidden="false" customHeight="true" outlineLevel="0" collapsed="false">
      <c r="A11" s="11" t="n">
        <v>10</v>
      </c>
      <c r="B11" s="11" t="s">
        <v>24</v>
      </c>
      <c r="C11" s="11" t="s">
        <v>822</v>
      </c>
      <c r="D11" s="11" t="s">
        <v>823</v>
      </c>
      <c r="E11" s="11" t="s">
        <v>824</v>
      </c>
      <c r="F11" s="13" t="n">
        <v>5</v>
      </c>
      <c r="G11" s="11" t="n">
        <v>3</v>
      </c>
      <c r="H11" s="11" t="s">
        <v>825</v>
      </c>
      <c r="I11" s="11" t="s">
        <v>121</v>
      </c>
      <c r="J11" s="11" t="s">
        <v>784</v>
      </c>
      <c r="K11" s="11" t="s">
        <v>785</v>
      </c>
      <c r="L11" s="11" t="s">
        <v>826</v>
      </c>
      <c r="M11" s="11" t="s">
        <v>827</v>
      </c>
      <c r="N11" s="11" t="s">
        <v>68</v>
      </c>
    </row>
    <row r="12" customFormat="false" ht="31.5" hidden="false" customHeight="true" outlineLevel="0" collapsed="false">
      <c r="A12" s="10" t="n">
        <v>11</v>
      </c>
      <c r="B12" s="10" t="s">
        <v>24</v>
      </c>
      <c r="C12" s="10" t="s">
        <v>69</v>
      </c>
      <c r="D12" s="10" t="s">
        <v>828</v>
      </c>
      <c r="E12" s="10" t="s">
        <v>789</v>
      </c>
      <c r="F12" s="12" t="n">
        <v>2.8</v>
      </c>
      <c r="G12" s="10" t="n">
        <v>43</v>
      </c>
      <c r="H12" s="10" t="s">
        <v>829</v>
      </c>
      <c r="I12" s="10" t="s">
        <v>63</v>
      </c>
      <c r="J12" s="10" t="s">
        <v>784</v>
      </c>
      <c r="K12" s="10" t="s">
        <v>785</v>
      </c>
      <c r="L12" s="10" t="s">
        <v>830</v>
      </c>
      <c r="M12" s="10" t="s">
        <v>831</v>
      </c>
      <c r="N12" s="10" t="s">
        <v>68</v>
      </c>
    </row>
    <row r="13" customFormat="false" ht="31.5" hidden="false" customHeight="true" outlineLevel="0" collapsed="false">
      <c r="A13" s="11" t="n">
        <v>12</v>
      </c>
      <c r="B13" s="11" t="s">
        <v>24</v>
      </c>
      <c r="C13" s="11" t="s">
        <v>69</v>
      </c>
      <c r="D13" s="11" t="s">
        <v>832</v>
      </c>
      <c r="E13" s="11" t="s">
        <v>833</v>
      </c>
      <c r="F13" s="13" t="n">
        <v>4</v>
      </c>
      <c r="G13" s="11" t="n">
        <v>8</v>
      </c>
      <c r="H13" s="11" t="s">
        <v>834</v>
      </c>
      <c r="I13" s="11" t="s">
        <v>63</v>
      </c>
      <c r="J13" s="11" t="s">
        <v>784</v>
      </c>
      <c r="K13" s="11" t="s">
        <v>785</v>
      </c>
      <c r="L13" s="11" t="s">
        <v>835</v>
      </c>
      <c r="M13" s="11"/>
      <c r="N13" s="11" t="s">
        <v>68</v>
      </c>
    </row>
    <row r="14" customFormat="false" ht="31.5" hidden="false" customHeight="true" outlineLevel="0" collapsed="false">
      <c r="A14" s="10" t="n">
        <v>13</v>
      </c>
      <c r="B14" s="10" t="s">
        <v>24</v>
      </c>
      <c r="C14" s="10" t="s">
        <v>69</v>
      </c>
      <c r="D14" s="10" t="s">
        <v>836</v>
      </c>
      <c r="E14" s="10" t="s">
        <v>803</v>
      </c>
      <c r="F14" s="12" t="n">
        <v>4</v>
      </c>
      <c r="G14" s="10" t="n">
        <v>3</v>
      </c>
      <c r="H14" s="10" t="s">
        <v>837</v>
      </c>
      <c r="I14" s="10" t="s">
        <v>121</v>
      </c>
      <c r="J14" s="10" t="s">
        <v>784</v>
      </c>
      <c r="K14" s="10" t="s">
        <v>785</v>
      </c>
      <c r="L14" s="10" t="s">
        <v>838</v>
      </c>
      <c r="M14" s="10"/>
      <c r="N14" s="10" t="s">
        <v>68</v>
      </c>
    </row>
    <row r="15" customFormat="false" ht="31.5" hidden="false" customHeight="true" outlineLevel="0" collapsed="false">
      <c r="A15" s="11" t="n">
        <v>14</v>
      </c>
      <c r="B15" s="11" t="s">
        <v>24</v>
      </c>
      <c r="C15" s="11" t="s">
        <v>69</v>
      </c>
      <c r="D15" s="11" t="s">
        <v>839</v>
      </c>
      <c r="E15" s="11" t="s">
        <v>840</v>
      </c>
      <c r="F15" s="13" t="n">
        <v>4.3</v>
      </c>
      <c r="G15" s="11" t="n">
        <v>25</v>
      </c>
      <c r="H15" s="11" t="s">
        <v>841</v>
      </c>
      <c r="I15" s="11" t="s">
        <v>121</v>
      </c>
      <c r="J15" s="11" t="s">
        <v>784</v>
      </c>
      <c r="K15" s="11" t="s">
        <v>785</v>
      </c>
      <c r="L15" s="11" t="s">
        <v>842</v>
      </c>
      <c r="M15" s="11"/>
      <c r="N15" s="11" t="s">
        <v>68</v>
      </c>
    </row>
    <row r="16" customFormat="false" ht="31.5" hidden="false" customHeight="true" outlineLevel="0" collapsed="false">
      <c r="A16" s="10" t="n">
        <v>15</v>
      </c>
      <c r="B16" s="10" t="s">
        <v>24</v>
      </c>
      <c r="C16" s="10" t="s">
        <v>69</v>
      </c>
      <c r="D16" s="10" t="s">
        <v>843</v>
      </c>
      <c r="E16" s="10" t="s">
        <v>844</v>
      </c>
      <c r="F16" s="12" t="n">
        <v>3.5</v>
      </c>
      <c r="G16" s="10" t="n">
        <v>2</v>
      </c>
      <c r="H16" s="10" t="s">
        <v>845</v>
      </c>
      <c r="I16" s="10" t="s">
        <v>121</v>
      </c>
      <c r="J16" s="10" t="s">
        <v>846</v>
      </c>
      <c r="K16" s="10" t="s">
        <v>785</v>
      </c>
      <c r="L16" s="10" t="s">
        <v>847</v>
      </c>
      <c r="M16" s="10" t="s">
        <v>848</v>
      </c>
      <c r="N16" s="10" t="s">
        <v>68</v>
      </c>
    </row>
    <row r="17" customFormat="false" ht="31.5" hidden="false" customHeight="true" outlineLevel="0" collapsed="false">
      <c r="A17" s="11" t="n">
        <v>16</v>
      </c>
      <c r="B17" s="11" t="s">
        <v>24</v>
      </c>
      <c r="C17" s="11" t="s">
        <v>849</v>
      </c>
      <c r="D17" s="11" t="s">
        <v>850</v>
      </c>
      <c r="E17" s="11" t="s">
        <v>851</v>
      </c>
      <c r="F17" s="13" t="n">
        <v>5</v>
      </c>
      <c r="G17" s="11" t="n">
        <v>2</v>
      </c>
      <c r="H17" s="11" t="s">
        <v>852</v>
      </c>
      <c r="I17" s="11" t="s">
        <v>170</v>
      </c>
      <c r="J17" s="11" t="s">
        <v>853</v>
      </c>
      <c r="K17" s="11" t="s">
        <v>785</v>
      </c>
      <c r="L17" s="11" t="s">
        <v>854</v>
      </c>
      <c r="M17" s="11" t="s">
        <v>855</v>
      </c>
      <c r="N17" s="11" t="s">
        <v>68</v>
      </c>
    </row>
    <row r="18" customFormat="false" ht="31.5" hidden="false" customHeight="true" outlineLevel="0" collapsed="false">
      <c r="A18" s="10" t="n">
        <v>17</v>
      </c>
      <c r="B18" s="10" t="s">
        <v>24</v>
      </c>
      <c r="C18" s="10" t="s">
        <v>69</v>
      </c>
      <c r="D18" s="10" t="s">
        <v>856</v>
      </c>
      <c r="E18" s="10" t="s">
        <v>857</v>
      </c>
      <c r="F18" s="12" t="n">
        <v>5</v>
      </c>
      <c r="G18" s="10" t="n">
        <v>11</v>
      </c>
      <c r="H18" s="10" t="s">
        <v>858</v>
      </c>
      <c r="I18" s="10" t="s">
        <v>121</v>
      </c>
      <c r="J18" s="10" t="s">
        <v>784</v>
      </c>
      <c r="K18" s="10" t="s">
        <v>785</v>
      </c>
      <c r="L18" s="10" t="s">
        <v>859</v>
      </c>
      <c r="M18" s="10"/>
      <c r="N18" s="10" t="s">
        <v>68</v>
      </c>
    </row>
    <row r="19" customFormat="false" ht="31.5" hidden="false" customHeight="true" outlineLevel="0" collapsed="false">
      <c r="A19" s="11" t="n">
        <v>18</v>
      </c>
      <c r="B19" s="11" t="s">
        <v>24</v>
      </c>
      <c r="C19" s="11" t="s">
        <v>69</v>
      </c>
      <c r="D19" s="11" t="s">
        <v>860</v>
      </c>
      <c r="E19" s="11" t="s">
        <v>861</v>
      </c>
      <c r="F19" s="13"/>
      <c r="G19" s="11"/>
      <c r="H19" s="11" t="s">
        <v>862</v>
      </c>
      <c r="I19" s="11" t="s">
        <v>63</v>
      </c>
      <c r="J19" s="11" t="s">
        <v>846</v>
      </c>
      <c r="K19" s="11" t="s">
        <v>863</v>
      </c>
      <c r="L19" s="11" t="s">
        <v>864</v>
      </c>
      <c r="M19" s="11" t="s">
        <v>865</v>
      </c>
      <c r="N19" s="11" t="s">
        <v>68</v>
      </c>
    </row>
    <row r="20" customFormat="false" ht="31.5" hidden="false" customHeight="true" outlineLevel="0" collapsed="false">
      <c r="A20" s="10" t="n">
        <v>19</v>
      </c>
      <c r="B20" s="10" t="s">
        <v>24</v>
      </c>
      <c r="C20" s="10" t="s">
        <v>69</v>
      </c>
      <c r="D20" s="10" t="s">
        <v>866</v>
      </c>
      <c r="E20" s="10" t="s">
        <v>867</v>
      </c>
      <c r="F20" s="12"/>
      <c r="G20" s="10"/>
      <c r="H20" s="10" t="s">
        <v>868</v>
      </c>
      <c r="I20" s="10" t="s">
        <v>121</v>
      </c>
      <c r="J20" s="10" t="s">
        <v>846</v>
      </c>
      <c r="K20" s="10" t="s">
        <v>869</v>
      </c>
      <c r="L20" s="10" t="s">
        <v>870</v>
      </c>
      <c r="M20" s="10" t="s">
        <v>871</v>
      </c>
      <c r="N20" s="10" t="s">
        <v>68</v>
      </c>
    </row>
    <row r="21" customFormat="false" ht="31.5" hidden="false" customHeight="true" outlineLevel="0" collapsed="false">
      <c r="A21" s="11" t="n">
        <v>20</v>
      </c>
      <c r="B21" s="11" t="s">
        <v>24</v>
      </c>
      <c r="C21" s="11" t="s">
        <v>872</v>
      </c>
      <c r="D21" s="11" t="s">
        <v>873</v>
      </c>
      <c r="E21" s="11" t="s">
        <v>874</v>
      </c>
      <c r="F21" s="13"/>
      <c r="G21" s="11"/>
      <c r="H21" s="11" t="s">
        <v>875</v>
      </c>
      <c r="I21" s="11" t="s">
        <v>63</v>
      </c>
      <c r="J21" s="11" t="s">
        <v>876</v>
      </c>
      <c r="K21" s="11" t="s">
        <v>877</v>
      </c>
      <c r="L21" s="11" t="s">
        <v>878</v>
      </c>
      <c r="M21" s="11" t="s">
        <v>879</v>
      </c>
      <c r="N21" s="11" t="s">
        <v>68</v>
      </c>
    </row>
    <row r="22" customFormat="false" ht="31.5" hidden="false" customHeight="true" outlineLevel="0" collapsed="false">
      <c r="A22" s="10" t="n">
        <v>21</v>
      </c>
      <c r="B22" s="10" t="s">
        <v>12</v>
      </c>
      <c r="C22" s="10" t="s">
        <v>880</v>
      </c>
      <c r="D22" s="10" t="s">
        <v>881</v>
      </c>
      <c r="E22" s="10" t="s">
        <v>882</v>
      </c>
      <c r="F22" s="12" t="n">
        <v>4.4</v>
      </c>
      <c r="G22" s="10" t="n">
        <v>255</v>
      </c>
      <c r="H22" s="10" t="s">
        <v>883</v>
      </c>
      <c r="I22" s="10" t="s">
        <v>63</v>
      </c>
      <c r="J22" s="10" t="s">
        <v>784</v>
      </c>
      <c r="K22" s="10" t="s">
        <v>884</v>
      </c>
      <c r="L22" s="10" t="s">
        <v>885</v>
      </c>
      <c r="M22" s="10" t="s">
        <v>886</v>
      </c>
      <c r="N22" s="10" t="s">
        <v>68</v>
      </c>
    </row>
    <row r="23" customFormat="false" ht="31.5" hidden="false" customHeight="true" outlineLevel="0" collapsed="false">
      <c r="A23" s="11" t="n">
        <v>22</v>
      </c>
      <c r="B23" s="11" t="s">
        <v>12</v>
      </c>
      <c r="C23" s="11" t="s">
        <v>309</v>
      </c>
      <c r="D23" s="11" t="s">
        <v>347</v>
      </c>
      <c r="E23" s="11" t="s">
        <v>887</v>
      </c>
      <c r="F23" s="13" t="n">
        <v>3.5</v>
      </c>
      <c r="G23" s="11" t="n">
        <v>11</v>
      </c>
      <c r="H23" s="11" t="s">
        <v>888</v>
      </c>
      <c r="I23" s="11" t="s">
        <v>63</v>
      </c>
      <c r="J23" s="11" t="s">
        <v>784</v>
      </c>
      <c r="K23" s="11" t="s">
        <v>884</v>
      </c>
      <c r="L23" s="11" t="s">
        <v>349</v>
      </c>
      <c r="M23" s="11" t="s">
        <v>889</v>
      </c>
      <c r="N23" s="11" t="s">
        <v>68</v>
      </c>
    </row>
    <row r="24" customFormat="false" ht="31.5" hidden="false" customHeight="true" outlineLevel="0" collapsed="false">
      <c r="A24" s="10" t="n">
        <v>23</v>
      </c>
      <c r="B24" s="10" t="s">
        <v>12</v>
      </c>
      <c r="C24" s="10" t="s">
        <v>426</v>
      </c>
      <c r="D24" s="10" t="s">
        <v>890</v>
      </c>
      <c r="E24" s="10" t="s">
        <v>891</v>
      </c>
      <c r="F24" s="12" t="n">
        <v>5</v>
      </c>
      <c r="G24" s="10" t="n">
        <v>360</v>
      </c>
      <c r="H24" s="10" t="s">
        <v>892</v>
      </c>
      <c r="I24" s="10" t="s">
        <v>63</v>
      </c>
      <c r="J24" s="10" t="s">
        <v>893</v>
      </c>
      <c r="K24" s="10" t="s">
        <v>884</v>
      </c>
      <c r="L24" s="10" t="s">
        <v>894</v>
      </c>
      <c r="M24" s="10" t="s">
        <v>895</v>
      </c>
      <c r="N24" s="10" t="s">
        <v>68</v>
      </c>
    </row>
    <row r="25" customFormat="false" ht="31.5" hidden="false" customHeight="true" outlineLevel="0" collapsed="false">
      <c r="A25" s="11" t="n">
        <v>24</v>
      </c>
      <c r="B25" s="11" t="s">
        <v>12</v>
      </c>
      <c r="C25" s="11" t="s">
        <v>426</v>
      </c>
      <c r="D25" s="11" t="s">
        <v>896</v>
      </c>
      <c r="E25" s="11" t="s">
        <v>891</v>
      </c>
      <c r="F25" s="13" t="n">
        <v>5</v>
      </c>
      <c r="G25" s="11" t="n">
        <v>287</v>
      </c>
      <c r="H25" s="11" t="s">
        <v>897</v>
      </c>
      <c r="I25" s="11" t="s">
        <v>63</v>
      </c>
      <c r="J25" s="11" t="s">
        <v>893</v>
      </c>
      <c r="K25" s="11" t="s">
        <v>884</v>
      </c>
      <c r="L25" s="11" t="s">
        <v>898</v>
      </c>
      <c r="M25" s="11"/>
      <c r="N25" s="11" t="s">
        <v>68</v>
      </c>
    </row>
    <row r="26" customFormat="false" ht="31.5" hidden="false" customHeight="true" outlineLevel="0" collapsed="false">
      <c r="A26" s="10" t="n">
        <v>25</v>
      </c>
      <c r="B26" s="10" t="s">
        <v>12</v>
      </c>
      <c r="C26" s="10" t="s">
        <v>426</v>
      </c>
      <c r="D26" s="10" t="s">
        <v>899</v>
      </c>
      <c r="E26" s="10" t="s">
        <v>891</v>
      </c>
      <c r="F26" s="12" t="n">
        <v>5</v>
      </c>
      <c r="G26" s="10" t="n">
        <v>64</v>
      </c>
      <c r="H26" s="10" t="s">
        <v>900</v>
      </c>
      <c r="I26" s="10" t="s">
        <v>63</v>
      </c>
      <c r="J26" s="10" t="s">
        <v>893</v>
      </c>
      <c r="K26" s="10" t="s">
        <v>884</v>
      </c>
      <c r="L26" s="10" t="s">
        <v>901</v>
      </c>
      <c r="M26" s="10"/>
      <c r="N26" s="10" t="s">
        <v>68</v>
      </c>
    </row>
    <row r="27" customFormat="false" ht="31.5" hidden="false" customHeight="true" outlineLevel="0" collapsed="false">
      <c r="A27" s="11" t="n">
        <v>26</v>
      </c>
      <c r="B27" s="11" t="s">
        <v>12</v>
      </c>
      <c r="C27" s="11" t="s">
        <v>426</v>
      </c>
      <c r="D27" s="11" t="s">
        <v>902</v>
      </c>
      <c r="E27" s="11" t="s">
        <v>891</v>
      </c>
      <c r="F27" s="13" t="n">
        <v>5</v>
      </c>
      <c r="G27" s="11" t="n">
        <v>50</v>
      </c>
      <c r="H27" s="11" t="s">
        <v>903</v>
      </c>
      <c r="I27" s="11" t="s">
        <v>63</v>
      </c>
      <c r="J27" s="11" t="s">
        <v>893</v>
      </c>
      <c r="K27" s="11" t="s">
        <v>884</v>
      </c>
      <c r="L27" s="11" t="s">
        <v>904</v>
      </c>
      <c r="M27" s="11" t="s">
        <v>905</v>
      </c>
      <c r="N27" s="11" t="s">
        <v>68</v>
      </c>
    </row>
    <row r="28" customFormat="false" ht="31.5" hidden="false" customHeight="true" outlineLevel="0" collapsed="false">
      <c r="A28" s="10" t="n">
        <v>27</v>
      </c>
      <c r="B28" s="10" t="s">
        <v>12</v>
      </c>
      <c r="C28" s="10" t="s">
        <v>12</v>
      </c>
      <c r="D28" s="10" t="s">
        <v>906</v>
      </c>
      <c r="E28" s="10" t="s">
        <v>907</v>
      </c>
      <c r="F28" s="12" t="n">
        <v>5</v>
      </c>
      <c r="G28" s="10" t="n">
        <v>29</v>
      </c>
      <c r="H28" s="10" t="s">
        <v>908</v>
      </c>
      <c r="I28" s="10" t="s">
        <v>63</v>
      </c>
      <c r="J28" s="10" t="s">
        <v>784</v>
      </c>
      <c r="K28" s="10" t="s">
        <v>884</v>
      </c>
      <c r="L28" s="10" t="s">
        <v>909</v>
      </c>
      <c r="M28" s="10"/>
      <c r="N28" s="10" t="s">
        <v>68</v>
      </c>
    </row>
    <row r="29" customFormat="false" ht="31.5" hidden="false" customHeight="true" outlineLevel="0" collapsed="false">
      <c r="A29" s="11" t="n">
        <v>28</v>
      </c>
      <c r="B29" s="11" t="s">
        <v>12</v>
      </c>
      <c r="C29" s="11" t="s">
        <v>426</v>
      </c>
      <c r="D29" s="11" t="s">
        <v>910</v>
      </c>
      <c r="E29" s="11" t="s">
        <v>911</v>
      </c>
      <c r="F29" s="13" t="n">
        <v>4</v>
      </c>
      <c r="G29" s="11" t="n">
        <v>4</v>
      </c>
      <c r="H29" s="11" t="s">
        <v>912</v>
      </c>
      <c r="I29" s="11" t="s">
        <v>121</v>
      </c>
      <c r="J29" s="11" t="s">
        <v>893</v>
      </c>
      <c r="K29" s="11" t="s">
        <v>884</v>
      </c>
      <c r="L29" s="11" t="s">
        <v>913</v>
      </c>
      <c r="M29" s="11"/>
      <c r="N29" s="11" t="s">
        <v>68</v>
      </c>
    </row>
    <row r="30" customFormat="false" ht="31.5" hidden="false" customHeight="true" outlineLevel="0" collapsed="false">
      <c r="A30" s="10" t="n">
        <v>29</v>
      </c>
      <c r="B30" s="10" t="s">
        <v>12</v>
      </c>
      <c r="C30" s="10" t="s">
        <v>426</v>
      </c>
      <c r="D30" s="10" t="s">
        <v>914</v>
      </c>
      <c r="E30" s="10" t="s">
        <v>911</v>
      </c>
      <c r="F30" s="12"/>
      <c r="G30" s="10"/>
      <c r="H30" s="10" t="s">
        <v>915</v>
      </c>
      <c r="I30" s="10" t="s">
        <v>121</v>
      </c>
      <c r="J30" s="10" t="s">
        <v>893</v>
      </c>
      <c r="K30" s="10" t="s">
        <v>884</v>
      </c>
      <c r="L30" s="10" t="s">
        <v>916</v>
      </c>
      <c r="M30" s="10"/>
      <c r="N30" s="10" t="s">
        <v>68</v>
      </c>
    </row>
    <row r="31" customFormat="false" ht="31.5" hidden="false" customHeight="true" outlineLevel="0" collapsed="false">
      <c r="A31" s="11" t="n">
        <v>30</v>
      </c>
      <c r="B31" s="11" t="s">
        <v>12</v>
      </c>
      <c r="C31" s="11" t="s">
        <v>917</v>
      </c>
      <c r="D31" s="11" t="s">
        <v>918</v>
      </c>
      <c r="E31" s="11" t="s">
        <v>919</v>
      </c>
      <c r="F31" s="13" t="n">
        <v>5</v>
      </c>
      <c r="G31" s="11" t="n">
        <v>3</v>
      </c>
      <c r="H31" s="11" t="s">
        <v>920</v>
      </c>
      <c r="I31" s="11" t="s">
        <v>121</v>
      </c>
      <c r="J31" s="11" t="s">
        <v>893</v>
      </c>
      <c r="K31" s="11" t="s">
        <v>884</v>
      </c>
      <c r="L31" s="11" t="s">
        <v>921</v>
      </c>
      <c r="M31" s="11"/>
      <c r="N31" s="11" t="s">
        <v>68</v>
      </c>
    </row>
    <row r="32" customFormat="false" ht="31.5" hidden="false" customHeight="true" outlineLevel="0" collapsed="false">
      <c r="A32" s="10" t="n">
        <v>31</v>
      </c>
      <c r="B32" s="10" t="s">
        <v>12</v>
      </c>
      <c r="C32" s="10" t="s">
        <v>922</v>
      </c>
      <c r="D32" s="10" t="s">
        <v>923</v>
      </c>
      <c r="E32" s="10" t="s">
        <v>851</v>
      </c>
      <c r="F32" s="12"/>
      <c r="G32" s="10"/>
      <c r="H32" s="10" t="s">
        <v>924</v>
      </c>
      <c r="I32" s="10" t="s">
        <v>63</v>
      </c>
      <c r="J32" s="10" t="s">
        <v>925</v>
      </c>
      <c r="K32" s="10" t="s">
        <v>926</v>
      </c>
      <c r="L32" s="10" t="s">
        <v>927</v>
      </c>
      <c r="M32" s="10" t="s">
        <v>928</v>
      </c>
      <c r="N32" s="10" t="s">
        <v>68</v>
      </c>
    </row>
    <row r="33" customFormat="false" ht="31.5" hidden="false" customHeight="true" outlineLevel="0" collapsed="false">
      <c r="A33" s="11" t="n">
        <v>32</v>
      </c>
      <c r="B33" s="11" t="s">
        <v>12</v>
      </c>
      <c r="C33" s="11" t="s">
        <v>929</v>
      </c>
      <c r="D33" s="11" t="s">
        <v>930</v>
      </c>
      <c r="E33" s="11" t="s">
        <v>803</v>
      </c>
      <c r="F33" s="13"/>
      <c r="G33" s="11"/>
      <c r="H33" s="11" t="s">
        <v>931</v>
      </c>
      <c r="I33" s="11" t="s">
        <v>63</v>
      </c>
      <c r="J33" s="11" t="s">
        <v>784</v>
      </c>
      <c r="K33" s="11" t="s">
        <v>884</v>
      </c>
      <c r="L33" s="11" t="s">
        <v>932</v>
      </c>
      <c r="M33" s="11"/>
      <c r="N33" s="11" t="s">
        <v>68</v>
      </c>
    </row>
    <row r="34" customFormat="false" ht="31.5" hidden="false" customHeight="true" outlineLevel="0" collapsed="false">
      <c r="A34" s="10" t="n">
        <v>33</v>
      </c>
      <c r="B34" s="10" t="s">
        <v>12</v>
      </c>
      <c r="C34" s="10" t="s">
        <v>426</v>
      </c>
      <c r="D34" s="10" t="s">
        <v>933</v>
      </c>
      <c r="E34" s="10" t="s">
        <v>844</v>
      </c>
      <c r="F34" s="12"/>
      <c r="G34" s="10"/>
      <c r="H34" s="10" t="s">
        <v>934</v>
      </c>
      <c r="I34" s="10" t="s">
        <v>121</v>
      </c>
      <c r="J34" s="10" t="s">
        <v>846</v>
      </c>
      <c r="K34" s="10" t="s">
        <v>884</v>
      </c>
      <c r="L34" s="10" t="s">
        <v>935</v>
      </c>
      <c r="M34" s="10" t="s">
        <v>936</v>
      </c>
      <c r="N34" s="10" t="s">
        <v>68</v>
      </c>
    </row>
    <row r="35" customFormat="false" ht="31.5" hidden="false" customHeight="true" outlineLevel="0" collapsed="false">
      <c r="A35" s="11" t="n">
        <v>34</v>
      </c>
      <c r="B35" s="11" t="s">
        <v>12</v>
      </c>
      <c r="C35" s="11" t="s">
        <v>12</v>
      </c>
      <c r="D35" s="11" t="s">
        <v>937</v>
      </c>
      <c r="E35" s="11" t="s">
        <v>938</v>
      </c>
      <c r="F35" s="13"/>
      <c r="G35" s="11"/>
      <c r="H35" s="11" t="s">
        <v>939</v>
      </c>
      <c r="I35" s="11" t="s">
        <v>121</v>
      </c>
      <c r="J35" s="11" t="s">
        <v>784</v>
      </c>
      <c r="K35" s="11" t="s">
        <v>884</v>
      </c>
      <c r="L35" s="11" t="s">
        <v>940</v>
      </c>
      <c r="M35" s="11"/>
      <c r="N35" s="11" t="s">
        <v>68</v>
      </c>
    </row>
    <row r="36" customFormat="false" ht="31.5" hidden="false" customHeight="true" outlineLevel="0" collapsed="false">
      <c r="A36" s="10" t="n">
        <v>35</v>
      </c>
      <c r="B36" s="10" t="s">
        <v>16</v>
      </c>
      <c r="C36" s="10" t="s">
        <v>16</v>
      </c>
      <c r="D36" s="10" t="s">
        <v>941</v>
      </c>
      <c r="E36" s="10" t="s">
        <v>807</v>
      </c>
      <c r="F36" s="12"/>
      <c r="G36" s="10"/>
      <c r="H36" s="10" t="s">
        <v>942</v>
      </c>
      <c r="I36" s="10" t="s">
        <v>63</v>
      </c>
      <c r="J36" s="10" t="s">
        <v>784</v>
      </c>
      <c r="K36" s="10" t="s">
        <v>943</v>
      </c>
      <c r="L36" s="10" t="s">
        <v>944</v>
      </c>
      <c r="M36" s="10" t="s">
        <v>945</v>
      </c>
      <c r="N36" s="10" t="s">
        <v>68</v>
      </c>
    </row>
    <row r="37" customFormat="false" ht="31.5" hidden="false" customHeight="true" outlineLevel="0" collapsed="false">
      <c r="A37" s="11" t="n">
        <v>36</v>
      </c>
      <c r="B37" s="11" t="s">
        <v>16</v>
      </c>
      <c r="C37" s="11" t="s">
        <v>16</v>
      </c>
      <c r="D37" s="11" t="s">
        <v>946</v>
      </c>
      <c r="E37" s="11" t="s">
        <v>803</v>
      </c>
      <c r="F37" s="13"/>
      <c r="G37" s="11"/>
      <c r="H37" s="11" t="s">
        <v>947</v>
      </c>
      <c r="I37" s="11" t="s">
        <v>121</v>
      </c>
      <c r="J37" s="11" t="s">
        <v>784</v>
      </c>
      <c r="K37" s="11" t="s">
        <v>943</v>
      </c>
      <c r="L37" s="11" t="s">
        <v>948</v>
      </c>
      <c r="M37" s="11" t="s">
        <v>949</v>
      </c>
      <c r="N37" s="11" t="s">
        <v>68</v>
      </c>
    </row>
    <row r="38" customFormat="false" ht="31.5" hidden="false" customHeight="true" outlineLevel="0" collapsed="false">
      <c r="A38" s="10" t="n">
        <v>37</v>
      </c>
      <c r="B38" s="10" t="s">
        <v>16</v>
      </c>
      <c r="C38" s="10" t="s">
        <v>16</v>
      </c>
      <c r="D38" s="10" t="s">
        <v>950</v>
      </c>
      <c r="E38" s="10" t="s">
        <v>951</v>
      </c>
      <c r="F38" s="12"/>
      <c r="G38" s="10"/>
      <c r="H38" s="10" t="s">
        <v>952</v>
      </c>
      <c r="I38" s="10" t="s">
        <v>63</v>
      </c>
      <c r="J38" s="10" t="s">
        <v>784</v>
      </c>
      <c r="K38" s="10" t="s">
        <v>943</v>
      </c>
      <c r="L38" s="10" t="s">
        <v>953</v>
      </c>
      <c r="M38" s="10" t="s">
        <v>954</v>
      </c>
      <c r="N38" s="10" t="s">
        <v>68</v>
      </c>
    </row>
    <row r="39" customFormat="false" ht="31.5" hidden="false" customHeight="true" outlineLevel="0" collapsed="false">
      <c r="A39" s="11" t="n">
        <v>38</v>
      </c>
      <c r="B39" s="11" t="s">
        <v>16</v>
      </c>
      <c r="C39" s="11" t="s">
        <v>955</v>
      </c>
      <c r="D39" s="11" t="s">
        <v>956</v>
      </c>
      <c r="E39" s="11" t="s">
        <v>882</v>
      </c>
      <c r="F39" s="13" t="n">
        <v>4.4</v>
      </c>
      <c r="G39" s="11" t="n">
        <v>255</v>
      </c>
      <c r="H39" s="11" t="s">
        <v>957</v>
      </c>
      <c r="I39" s="11" t="s">
        <v>63</v>
      </c>
      <c r="J39" s="11" t="s">
        <v>784</v>
      </c>
      <c r="K39" s="11" t="s">
        <v>884</v>
      </c>
      <c r="L39" s="11" t="s">
        <v>958</v>
      </c>
      <c r="M39" s="11" t="s">
        <v>959</v>
      </c>
      <c r="N39" s="11" t="s">
        <v>68</v>
      </c>
    </row>
    <row r="40" customFormat="false" ht="31.5" hidden="false" customHeight="true" outlineLevel="0" collapsed="false">
      <c r="A40" s="10" t="n">
        <v>39</v>
      </c>
      <c r="B40" s="10" t="s">
        <v>20</v>
      </c>
      <c r="C40" s="10" t="s">
        <v>638</v>
      </c>
      <c r="D40" s="10" t="s">
        <v>960</v>
      </c>
      <c r="E40" s="10" t="s">
        <v>874</v>
      </c>
      <c r="F40" s="12" t="n">
        <v>4.4</v>
      </c>
      <c r="G40" s="10" t="n">
        <v>137</v>
      </c>
      <c r="H40" s="10" t="s">
        <v>961</v>
      </c>
      <c r="I40" s="10" t="s">
        <v>63</v>
      </c>
      <c r="J40" s="10" t="s">
        <v>876</v>
      </c>
      <c r="K40" s="10" t="s">
        <v>877</v>
      </c>
      <c r="L40" s="10" t="s">
        <v>962</v>
      </c>
      <c r="M40" s="10" t="s">
        <v>963</v>
      </c>
      <c r="N40" s="10" t="s">
        <v>68</v>
      </c>
    </row>
    <row r="41" customFormat="false" ht="31.5" hidden="false" customHeight="true" outlineLevel="0" collapsed="false">
      <c r="A41" s="11" t="n">
        <v>40</v>
      </c>
      <c r="B41" s="11" t="s">
        <v>20</v>
      </c>
      <c r="C41" s="11" t="s">
        <v>644</v>
      </c>
      <c r="D41" s="11" t="s">
        <v>964</v>
      </c>
      <c r="E41" s="11" t="s">
        <v>833</v>
      </c>
      <c r="F41" s="13" t="n">
        <v>4.4</v>
      </c>
      <c r="G41" s="11" t="n">
        <v>31</v>
      </c>
      <c r="H41" s="11" t="s">
        <v>965</v>
      </c>
      <c r="I41" s="11" t="s">
        <v>63</v>
      </c>
      <c r="J41" s="11" t="s">
        <v>893</v>
      </c>
      <c r="K41" s="11" t="s">
        <v>966</v>
      </c>
      <c r="L41" s="11" t="s">
        <v>967</v>
      </c>
      <c r="M41" s="11" t="s">
        <v>968</v>
      </c>
      <c r="N41" s="11" t="s">
        <v>68</v>
      </c>
    </row>
    <row r="42" customFormat="false" ht="31.5" hidden="false" customHeight="true" outlineLevel="0" collapsed="false">
      <c r="A42" s="10" t="n">
        <v>41</v>
      </c>
      <c r="B42" s="10" t="s">
        <v>20</v>
      </c>
      <c r="C42" s="10" t="s">
        <v>651</v>
      </c>
      <c r="D42" s="10" t="s">
        <v>969</v>
      </c>
      <c r="E42" s="10" t="s">
        <v>970</v>
      </c>
      <c r="F42" s="12" t="n">
        <v>4.4</v>
      </c>
      <c r="G42" s="10" t="n">
        <v>17</v>
      </c>
      <c r="H42" s="10" t="s">
        <v>971</v>
      </c>
      <c r="I42" s="10" t="s">
        <v>63</v>
      </c>
      <c r="J42" s="10" t="s">
        <v>893</v>
      </c>
      <c r="K42" s="10" t="s">
        <v>966</v>
      </c>
      <c r="L42" s="10" t="s">
        <v>972</v>
      </c>
      <c r="M42" s="10" t="s">
        <v>973</v>
      </c>
      <c r="N42" s="10" t="s">
        <v>68</v>
      </c>
    </row>
    <row r="43" customFormat="false" ht="31.5" hidden="false" customHeight="true" outlineLevel="0" collapsed="false">
      <c r="A43" s="11" t="n">
        <v>42</v>
      </c>
      <c r="B43" s="11" t="s">
        <v>20</v>
      </c>
      <c r="C43" s="11" t="s">
        <v>651</v>
      </c>
      <c r="D43" s="11" t="s">
        <v>974</v>
      </c>
      <c r="E43" s="11" t="s">
        <v>975</v>
      </c>
      <c r="F43" s="13" t="n">
        <v>5</v>
      </c>
      <c r="G43" s="11" t="n">
        <v>1</v>
      </c>
      <c r="H43" s="11" t="s">
        <v>976</v>
      </c>
      <c r="I43" s="11" t="s">
        <v>121</v>
      </c>
      <c r="J43" s="11" t="s">
        <v>893</v>
      </c>
      <c r="K43" s="11" t="s">
        <v>966</v>
      </c>
      <c r="L43" s="11" t="s">
        <v>977</v>
      </c>
      <c r="M43" s="11"/>
      <c r="N43" s="11" t="s">
        <v>68</v>
      </c>
    </row>
    <row r="44" customFormat="false" ht="31.5" hidden="false" customHeight="true" outlineLevel="0" collapsed="false">
      <c r="A44" s="10" t="n">
        <v>43</v>
      </c>
      <c r="B44" s="10" t="s">
        <v>20</v>
      </c>
      <c r="C44" s="10" t="s">
        <v>651</v>
      </c>
      <c r="D44" s="10" t="s">
        <v>978</v>
      </c>
      <c r="E44" s="10" t="s">
        <v>979</v>
      </c>
      <c r="F44" s="12"/>
      <c r="G44" s="10"/>
      <c r="H44" s="10" t="s">
        <v>980</v>
      </c>
      <c r="I44" s="10" t="s">
        <v>121</v>
      </c>
      <c r="J44" s="10" t="s">
        <v>893</v>
      </c>
      <c r="K44" s="10" t="s">
        <v>981</v>
      </c>
      <c r="L44" s="10" t="s">
        <v>982</v>
      </c>
      <c r="M44" s="10" t="s">
        <v>983</v>
      </c>
      <c r="N44" s="10" t="s">
        <v>68</v>
      </c>
    </row>
    <row r="45" customFormat="false" ht="31.5" hidden="false" customHeight="true" outlineLevel="0" collapsed="false">
      <c r="A45" s="11" t="n">
        <v>44</v>
      </c>
      <c r="B45" s="11" t="s">
        <v>20</v>
      </c>
      <c r="C45" s="11" t="s">
        <v>651</v>
      </c>
      <c r="D45" s="11" t="s">
        <v>984</v>
      </c>
      <c r="E45" s="11" t="s">
        <v>985</v>
      </c>
      <c r="F45" s="13" t="n">
        <v>5</v>
      </c>
      <c r="G45" s="11" t="n">
        <v>5</v>
      </c>
      <c r="H45" s="11" t="s">
        <v>986</v>
      </c>
      <c r="I45" s="11" t="s">
        <v>63</v>
      </c>
      <c r="J45" s="11" t="s">
        <v>784</v>
      </c>
      <c r="K45" s="11" t="s">
        <v>966</v>
      </c>
      <c r="L45" s="11" t="s">
        <v>987</v>
      </c>
      <c r="M45" s="11"/>
      <c r="N45" s="11" t="s">
        <v>68</v>
      </c>
    </row>
    <row r="46" customFormat="false" ht="31.5" hidden="false" customHeight="true" outlineLevel="0" collapsed="false">
      <c r="A46" s="10" t="n">
        <v>45</v>
      </c>
      <c r="B46" s="10" t="s">
        <v>20</v>
      </c>
      <c r="C46" s="10" t="s">
        <v>651</v>
      </c>
      <c r="D46" s="10" t="s">
        <v>988</v>
      </c>
      <c r="E46" s="10" t="s">
        <v>985</v>
      </c>
      <c r="F46" s="12"/>
      <c r="G46" s="10"/>
      <c r="H46" s="10" t="s">
        <v>989</v>
      </c>
      <c r="I46" s="10" t="s">
        <v>121</v>
      </c>
      <c r="J46" s="10" t="s">
        <v>784</v>
      </c>
      <c r="K46" s="10" t="s">
        <v>966</v>
      </c>
      <c r="L46" s="10" t="s">
        <v>990</v>
      </c>
      <c r="M46" s="10"/>
      <c r="N46" s="10" t="s">
        <v>68</v>
      </c>
    </row>
    <row r="47" customFormat="false" ht="31.5" hidden="false" customHeight="true" outlineLevel="0" collapsed="false">
      <c r="A47" s="11" t="n">
        <v>46</v>
      </c>
      <c r="B47" s="11" t="s">
        <v>20</v>
      </c>
      <c r="C47" s="11" t="s">
        <v>638</v>
      </c>
      <c r="D47" s="11" t="s">
        <v>991</v>
      </c>
      <c r="E47" s="11" t="s">
        <v>874</v>
      </c>
      <c r="F47" s="13"/>
      <c r="G47" s="11"/>
      <c r="H47" s="11" t="s">
        <v>992</v>
      </c>
      <c r="I47" s="11" t="s">
        <v>121</v>
      </c>
      <c r="J47" s="11" t="s">
        <v>876</v>
      </c>
      <c r="K47" s="11" t="s">
        <v>966</v>
      </c>
      <c r="L47" s="11" t="s">
        <v>993</v>
      </c>
      <c r="M47" s="11"/>
      <c r="N47" s="11" t="s">
        <v>68</v>
      </c>
    </row>
    <row r="48" customFormat="false" ht="31.5" hidden="false" customHeight="true" outlineLevel="0" collapsed="false">
      <c r="A48" s="10" t="n">
        <v>47</v>
      </c>
      <c r="B48" s="10" t="s">
        <v>20</v>
      </c>
      <c r="C48" s="10" t="s">
        <v>638</v>
      </c>
      <c r="D48" s="10" t="s">
        <v>994</v>
      </c>
      <c r="E48" s="10" t="s">
        <v>874</v>
      </c>
      <c r="F48" s="12"/>
      <c r="G48" s="10"/>
      <c r="H48" s="10" t="s">
        <v>995</v>
      </c>
      <c r="I48" s="10" t="s">
        <v>121</v>
      </c>
      <c r="J48" s="10" t="s">
        <v>876</v>
      </c>
      <c r="K48" s="10" t="s">
        <v>966</v>
      </c>
      <c r="L48" s="10" t="s">
        <v>996</v>
      </c>
      <c r="M48" s="10"/>
      <c r="N48" s="10" t="s">
        <v>68</v>
      </c>
    </row>
    <row r="49" customFormat="false" ht="31.5" hidden="false" customHeight="true" outlineLevel="0" collapsed="false">
      <c r="A49" s="11" t="n">
        <v>48</v>
      </c>
      <c r="B49" s="11" t="s">
        <v>20</v>
      </c>
      <c r="C49" s="11" t="s">
        <v>651</v>
      </c>
      <c r="D49" s="11" t="s">
        <v>997</v>
      </c>
      <c r="E49" s="11" t="s">
        <v>998</v>
      </c>
      <c r="F49" s="13"/>
      <c r="G49" s="11"/>
      <c r="H49" s="11" t="s">
        <v>999</v>
      </c>
      <c r="I49" s="11" t="s">
        <v>121</v>
      </c>
      <c r="J49" s="11" t="s">
        <v>893</v>
      </c>
      <c r="K49" s="11" t="s">
        <v>966</v>
      </c>
      <c r="L49" s="11" t="s">
        <v>1000</v>
      </c>
      <c r="M49" s="11" t="s">
        <v>1001</v>
      </c>
      <c r="N49" s="11" t="s">
        <v>68</v>
      </c>
    </row>
    <row r="50" customFormat="false" ht="31.5" hidden="false" customHeight="true" outlineLevel="0" collapsed="false">
      <c r="A50" s="10" t="n">
        <v>49</v>
      </c>
      <c r="B50" s="10" t="s">
        <v>20</v>
      </c>
      <c r="C50" s="10" t="s">
        <v>651</v>
      </c>
      <c r="D50" s="10" t="s">
        <v>1002</v>
      </c>
      <c r="E50" s="10" t="s">
        <v>938</v>
      </c>
      <c r="F50" s="12" t="n">
        <v>5</v>
      </c>
      <c r="G50" s="10" t="n">
        <v>3</v>
      </c>
      <c r="H50" s="10" t="s">
        <v>1003</v>
      </c>
      <c r="I50" s="10" t="s">
        <v>121</v>
      </c>
      <c r="J50" s="10" t="s">
        <v>784</v>
      </c>
      <c r="K50" s="10" t="s">
        <v>966</v>
      </c>
      <c r="L50" s="10" t="s">
        <v>1004</v>
      </c>
      <c r="M50" s="10"/>
      <c r="N50" s="10" t="s">
        <v>68</v>
      </c>
    </row>
    <row r="51" customFormat="false" ht="31.5" hidden="false" customHeight="true" outlineLevel="0" collapsed="false">
      <c r="A51" s="11" t="n">
        <v>50</v>
      </c>
      <c r="B51" s="11" t="s">
        <v>20</v>
      </c>
      <c r="C51" s="11" t="s">
        <v>651</v>
      </c>
      <c r="D51" s="11" t="s">
        <v>1005</v>
      </c>
      <c r="E51" s="11" t="s">
        <v>874</v>
      </c>
      <c r="F51" s="13"/>
      <c r="G51" s="11"/>
      <c r="H51" s="11" t="s">
        <v>1006</v>
      </c>
      <c r="I51" s="11" t="s">
        <v>121</v>
      </c>
      <c r="J51" s="11" t="s">
        <v>876</v>
      </c>
      <c r="K51" s="11" t="s">
        <v>966</v>
      </c>
      <c r="L51" s="11" t="s">
        <v>1007</v>
      </c>
      <c r="M51" s="11" t="s">
        <v>1008</v>
      </c>
      <c r="N51" s="11" t="s">
        <v>68</v>
      </c>
    </row>
    <row r="52" customFormat="false" ht="31.5" hidden="false" customHeight="true" outlineLevel="0" collapsed="false">
      <c r="A52" s="10" t="n">
        <v>51</v>
      </c>
      <c r="B52" s="10" t="s">
        <v>28</v>
      </c>
      <c r="C52" s="10" t="s">
        <v>1009</v>
      </c>
      <c r="D52" s="10" t="s">
        <v>1010</v>
      </c>
      <c r="E52" s="10" t="s">
        <v>979</v>
      </c>
      <c r="F52" s="12"/>
      <c r="G52" s="10"/>
      <c r="H52" s="10" t="s">
        <v>1011</v>
      </c>
      <c r="I52" s="10" t="s">
        <v>63</v>
      </c>
      <c r="J52" s="10" t="s">
        <v>1012</v>
      </c>
      <c r="K52" s="10" t="s">
        <v>1013</v>
      </c>
      <c r="L52" s="10" t="s">
        <v>1014</v>
      </c>
      <c r="M52" s="10" t="s">
        <v>1015</v>
      </c>
      <c r="N52" s="10" t="s">
        <v>68</v>
      </c>
    </row>
    <row r="53" customFormat="false" ht="31.5" hidden="false" customHeight="true" outlineLevel="0" collapsed="false">
      <c r="A53" s="11" t="n">
        <v>52</v>
      </c>
      <c r="B53" s="11" t="s">
        <v>28</v>
      </c>
      <c r="C53" s="11" t="s">
        <v>1016</v>
      </c>
      <c r="D53" s="11" t="s">
        <v>1017</v>
      </c>
      <c r="E53" s="11" t="s">
        <v>1018</v>
      </c>
      <c r="F53" s="13"/>
      <c r="G53" s="11"/>
      <c r="H53" s="11" t="s">
        <v>1019</v>
      </c>
      <c r="I53" s="11" t="s">
        <v>63</v>
      </c>
      <c r="J53" s="11" t="s">
        <v>1020</v>
      </c>
      <c r="K53" s="11" t="s">
        <v>1021</v>
      </c>
      <c r="L53" s="11" t="s">
        <v>1022</v>
      </c>
      <c r="M53" s="11" t="s">
        <v>1023</v>
      </c>
      <c r="N53" s="11" t="s">
        <v>68</v>
      </c>
    </row>
    <row r="54" customFormat="false" ht="31.5" hidden="false" customHeight="true" outlineLevel="0" collapsed="false">
      <c r="A54" s="10" t="n">
        <v>53</v>
      </c>
      <c r="B54" s="10" t="s">
        <v>28</v>
      </c>
      <c r="C54" s="10" t="s">
        <v>1024</v>
      </c>
      <c r="D54" s="10" t="s">
        <v>1025</v>
      </c>
      <c r="E54" s="10" t="s">
        <v>975</v>
      </c>
      <c r="F54" s="12"/>
      <c r="G54" s="10"/>
      <c r="H54" s="10" t="s">
        <v>1026</v>
      </c>
      <c r="I54" s="10" t="s">
        <v>63</v>
      </c>
      <c r="J54" s="10" t="s">
        <v>893</v>
      </c>
      <c r="K54" s="10" t="s">
        <v>1021</v>
      </c>
      <c r="L54" s="10" t="s">
        <v>1027</v>
      </c>
      <c r="M54" s="10" t="s">
        <v>1028</v>
      </c>
      <c r="N54" s="10" t="s">
        <v>68</v>
      </c>
    </row>
    <row r="55" customFormat="false" ht="31.5" hidden="false" customHeight="true" outlineLevel="0" collapsed="false">
      <c r="A55" s="11" t="n">
        <v>54</v>
      </c>
      <c r="B55" s="11" t="s">
        <v>28</v>
      </c>
      <c r="C55" s="11" t="s">
        <v>1016</v>
      </c>
      <c r="D55" s="11" t="s">
        <v>1029</v>
      </c>
      <c r="E55" s="11" t="s">
        <v>833</v>
      </c>
      <c r="F55" s="13"/>
      <c r="G55" s="11"/>
      <c r="H55" s="11" t="s">
        <v>1030</v>
      </c>
      <c r="I55" s="11" t="s">
        <v>121</v>
      </c>
      <c r="J55" s="11" t="s">
        <v>893</v>
      </c>
      <c r="K55" s="11" t="s">
        <v>1021</v>
      </c>
      <c r="L55" s="11" t="s">
        <v>1031</v>
      </c>
      <c r="M55" s="11" t="s">
        <v>1032</v>
      </c>
      <c r="N55" s="11" t="s">
        <v>68</v>
      </c>
    </row>
    <row r="56" customFormat="false" ht="31.5" hidden="false" customHeight="true" outlineLevel="0" collapsed="false">
      <c r="A56" s="10" t="n">
        <v>55</v>
      </c>
      <c r="B56" s="10" t="s">
        <v>28</v>
      </c>
      <c r="C56" s="10" t="s">
        <v>1009</v>
      </c>
      <c r="D56" s="10" t="s">
        <v>1033</v>
      </c>
      <c r="E56" s="10" t="s">
        <v>803</v>
      </c>
      <c r="F56" s="12"/>
      <c r="G56" s="10"/>
      <c r="H56" s="10" t="s">
        <v>1034</v>
      </c>
      <c r="I56" s="10" t="s">
        <v>121</v>
      </c>
      <c r="J56" s="10" t="s">
        <v>893</v>
      </c>
      <c r="K56" s="10" t="s">
        <v>1035</v>
      </c>
      <c r="L56" s="10" t="s">
        <v>1036</v>
      </c>
      <c r="M56" s="10" t="s">
        <v>1037</v>
      </c>
      <c r="N56" s="10" t="s">
        <v>68</v>
      </c>
    </row>
    <row r="57" customFormat="false" ht="31.5" hidden="false" customHeight="true" outlineLevel="0" collapsed="false">
      <c r="A57" s="11" t="n">
        <v>56</v>
      </c>
      <c r="B57" s="11" t="s">
        <v>28</v>
      </c>
      <c r="C57" s="11" t="s">
        <v>1009</v>
      </c>
      <c r="D57" s="11" t="s">
        <v>1038</v>
      </c>
      <c r="E57" s="11" t="s">
        <v>803</v>
      </c>
      <c r="F57" s="13"/>
      <c r="G57" s="11"/>
      <c r="H57" s="11" t="s">
        <v>1039</v>
      </c>
      <c r="I57" s="11" t="s">
        <v>121</v>
      </c>
      <c r="J57" s="11" t="s">
        <v>893</v>
      </c>
      <c r="K57" s="11" t="s">
        <v>1035</v>
      </c>
      <c r="L57" s="11" t="s">
        <v>1040</v>
      </c>
      <c r="M57" s="11" t="s">
        <v>1041</v>
      </c>
      <c r="N57" s="11" t="s">
        <v>68</v>
      </c>
    </row>
    <row r="58" customFormat="false" ht="31.5" hidden="false" customHeight="true" outlineLevel="0" collapsed="false">
      <c r="A58" s="10" t="n">
        <v>57</v>
      </c>
      <c r="B58" s="10" t="s">
        <v>28</v>
      </c>
      <c r="C58" s="10" t="s">
        <v>1009</v>
      </c>
      <c r="D58" s="10" t="s">
        <v>1042</v>
      </c>
      <c r="E58" s="10" t="s">
        <v>833</v>
      </c>
      <c r="F58" s="12"/>
      <c r="G58" s="10"/>
      <c r="H58" s="10" t="s">
        <v>1043</v>
      </c>
      <c r="I58" s="10" t="s">
        <v>121</v>
      </c>
      <c r="J58" s="10" t="s">
        <v>893</v>
      </c>
      <c r="K58" s="10" t="s">
        <v>1035</v>
      </c>
      <c r="L58" s="10" t="s">
        <v>1044</v>
      </c>
      <c r="M58" s="10" t="s">
        <v>1045</v>
      </c>
      <c r="N58" s="10" t="s">
        <v>68</v>
      </c>
    </row>
    <row r="59" customFormat="false" ht="31.5" hidden="false" customHeight="true" outlineLevel="0" collapsed="false">
      <c r="A59" s="11" t="n">
        <v>58</v>
      </c>
      <c r="B59" s="11" t="s">
        <v>28</v>
      </c>
      <c r="C59" s="11" t="s">
        <v>768</v>
      </c>
      <c r="D59" s="11" t="s">
        <v>1046</v>
      </c>
      <c r="E59" s="11" t="s">
        <v>975</v>
      </c>
      <c r="F59" s="13"/>
      <c r="G59" s="11"/>
      <c r="H59" s="11" t="s">
        <v>1047</v>
      </c>
      <c r="I59" s="11" t="s">
        <v>63</v>
      </c>
      <c r="J59" s="11" t="s">
        <v>1012</v>
      </c>
      <c r="K59" s="11" t="s">
        <v>1013</v>
      </c>
      <c r="L59" s="11" t="s">
        <v>1048</v>
      </c>
      <c r="M59" s="11" t="s">
        <v>1049</v>
      </c>
      <c r="N59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74"/>
  </cols>
  <sheetData>
    <row r="1" customFormat="false" ht="27.75" hidden="false" customHeight="true" outlineLevel="0" collapsed="false">
      <c r="A1" s="9" t="s">
        <v>6</v>
      </c>
      <c r="B1" s="9" t="s">
        <v>48</v>
      </c>
      <c r="C1" s="9" t="s">
        <v>31</v>
      </c>
      <c r="D1" s="9" t="s">
        <v>32</v>
      </c>
      <c r="E1" s="9" t="s">
        <v>36</v>
      </c>
    </row>
    <row r="2" customFormat="false" ht="23.85" hidden="false" customHeight="false" outlineLevel="0" collapsed="false">
      <c r="A2" s="10" t="s">
        <v>28</v>
      </c>
      <c r="B2" s="10" t="s">
        <v>1009</v>
      </c>
      <c r="C2" s="10" t="n">
        <f aca="false">COUNTIFS('Food &amp; Drink'!$B$2:$B$259,$A2,'Food &amp; Drink'!$C$2:$C$259,$B2)</f>
        <v>0</v>
      </c>
      <c r="D2" s="10" t="n">
        <f aca="false">COUNTIFS(Activities!$B$2:$B$59,$A2,Activities!$C$2:$C$59,$B2)</f>
        <v>4</v>
      </c>
      <c r="E2" s="10" t="s">
        <v>1050</v>
      </c>
    </row>
    <row r="3" customFormat="false" ht="23.85" hidden="false" customHeight="false" outlineLevel="0" collapsed="false">
      <c r="A3" s="11" t="s">
        <v>28</v>
      </c>
      <c r="B3" s="11" t="s">
        <v>768</v>
      </c>
      <c r="C3" s="11" t="n">
        <f aca="false">COUNTIFS('Food &amp; Drink'!$B$2:$B$259,$A3,'Food &amp; Drink'!$C$2:$C$259,$B3)</f>
        <v>1</v>
      </c>
      <c r="D3" s="11" t="n">
        <f aca="false">COUNTIFS(Activities!$B$2:$B$59,$A3,Activities!$C$2:$C$59,$B3)</f>
        <v>1</v>
      </c>
      <c r="E3" s="11" t="s">
        <v>1050</v>
      </c>
    </row>
    <row r="4" customFormat="false" ht="23.85" hidden="false" customHeight="false" outlineLevel="0" collapsed="false">
      <c r="A4" s="10" t="s">
        <v>28</v>
      </c>
      <c r="B4" s="10" t="s">
        <v>751</v>
      </c>
      <c r="C4" s="10" t="n">
        <f aca="false">COUNTIFS('Food &amp; Drink'!$B$2:$B$259,$A4,'Food &amp; Drink'!$C$2:$C$259,$B4)</f>
        <v>6</v>
      </c>
      <c r="D4" s="10" t="n">
        <f aca="false">COUNTIFS(Activities!$B$2:$B$59,$A4,Activities!$C$2:$C$59,$B4)</f>
        <v>0</v>
      </c>
      <c r="E4" s="10" t="s">
        <v>1050</v>
      </c>
    </row>
    <row r="5" customFormat="false" ht="23.85" hidden="false" customHeight="false" outlineLevel="0" collapsed="false">
      <c r="A5" s="11" t="s">
        <v>28</v>
      </c>
      <c r="B5" s="11" t="s">
        <v>1024</v>
      </c>
      <c r="C5" s="11" t="n">
        <f aca="false">COUNTIFS('Food &amp; Drink'!$B$2:$B$259,$A5,'Food &amp; Drink'!$C$2:$C$259,$B5)</f>
        <v>0</v>
      </c>
      <c r="D5" s="11" t="n">
        <f aca="false">COUNTIFS(Activities!$B$2:$B$59,$A5,Activities!$C$2:$C$59,$B5)</f>
        <v>1</v>
      </c>
      <c r="E5" s="11" t="s">
        <v>1050</v>
      </c>
    </row>
    <row r="6" customFormat="false" ht="23.85" hidden="false" customHeight="false" outlineLevel="0" collapsed="false">
      <c r="A6" s="10" t="s">
        <v>28</v>
      </c>
      <c r="B6" s="10" t="s">
        <v>1016</v>
      </c>
      <c r="C6" s="10" t="n">
        <f aca="false">COUNTIFS('Food &amp; Drink'!$B$2:$B$259,$A6,'Food &amp; Drink'!$C$2:$C$259,$B6)</f>
        <v>0</v>
      </c>
      <c r="D6" s="10" t="n">
        <f aca="false">COUNTIFS(Activities!$B$2:$B$59,$A6,Activities!$C$2:$C$59,$B6)</f>
        <v>2</v>
      </c>
      <c r="E6" s="10" t="s">
        <v>1050</v>
      </c>
    </row>
    <row r="7" customFormat="false" ht="23.85" hidden="false" customHeight="false" outlineLevel="0" collapsed="false">
      <c r="A7" s="11" t="s">
        <v>24</v>
      </c>
      <c r="B7" s="11" t="s">
        <v>271</v>
      </c>
      <c r="C7" s="11" t="n">
        <f aca="false">COUNTIFS('Food &amp; Drink'!$B$2:$B$259,$A7,'Food &amp; Drink'!$C$2:$C$259,$B7)</f>
        <v>14</v>
      </c>
      <c r="D7" s="11" t="n">
        <f aca="false">COUNTIFS(Activities!$B$2:$B$59,$A7,Activities!$C$2:$C$59,$B7)</f>
        <v>0</v>
      </c>
      <c r="E7" s="11" t="s">
        <v>1050</v>
      </c>
    </row>
    <row r="8" customFormat="false" ht="23.85" hidden="false" customHeight="false" outlineLevel="0" collapsed="false">
      <c r="A8" s="10" t="s">
        <v>24</v>
      </c>
      <c r="B8" s="10" t="s">
        <v>296</v>
      </c>
      <c r="C8" s="10" t="n">
        <f aca="false">COUNTIFS('Food &amp; Drink'!$B$2:$B$259,$A8,'Food &amp; Drink'!$C$2:$C$259,$B8)</f>
        <v>1</v>
      </c>
      <c r="D8" s="10" t="n">
        <f aca="false">COUNTIFS(Activities!$B$2:$B$59,$A8,Activities!$C$2:$C$59,$B8)</f>
        <v>0</v>
      </c>
      <c r="E8" s="10" t="s">
        <v>1050</v>
      </c>
    </row>
    <row r="9" customFormat="false" ht="23.85" hidden="false" customHeight="false" outlineLevel="0" collapsed="false">
      <c r="A9" s="11" t="s">
        <v>24</v>
      </c>
      <c r="B9" s="11" t="s">
        <v>99</v>
      </c>
      <c r="C9" s="11" t="n">
        <f aca="false">COUNTIFS('Food &amp; Drink'!$B$2:$B$259,$A9,'Food &amp; Drink'!$C$2:$C$259,$B9)</f>
        <v>1</v>
      </c>
      <c r="D9" s="11" t="n">
        <f aca="false">COUNTIFS(Activities!$B$2:$B$59,$A9,Activities!$C$2:$C$59,$B9)</f>
        <v>1</v>
      </c>
      <c r="E9" s="11" t="s">
        <v>1050</v>
      </c>
    </row>
    <row r="10" customFormat="false" ht="23.85" hidden="false" customHeight="false" outlineLevel="0" collapsed="false">
      <c r="A10" s="10" t="s">
        <v>24</v>
      </c>
      <c r="B10" s="10" t="s">
        <v>126</v>
      </c>
      <c r="C10" s="10" t="n">
        <f aca="false">COUNTIFS('Food &amp; Drink'!$B$2:$B$259,$A10,'Food &amp; Drink'!$C$2:$C$259,$B10)</f>
        <v>1</v>
      </c>
      <c r="D10" s="10" t="n">
        <f aca="false">COUNTIFS(Activities!$B$2:$B$59,$A10,Activities!$C$2:$C$59,$B10)</f>
        <v>0</v>
      </c>
      <c r="E10" s="10" t="s">
        <v>1050</v>
      </c>
    </row>
    <row r="11" customFormat="false" ht="23.85" hidden="false" customHeight="false" outlineLevel="0" collapsed="false">
      <c r="A11" s="11" t="s">
        <v>24</v>
      </c>
      <c r="B11" s="11" t="s">
        <v>69</v>
      </c>
      <c r="C11" s="11" t="n">
        <f aca="false">COUNTIFS('Food &amp; Drink'!$B$2:$B$259,$A11,'Food &amp; Drink'!$C$2:$C$259,$B11)</f>
        <v>48</v>
      </c>
      <c r="D11" s="11" t="n">
        <f aca="false">COUNTIFS(Activities!$B$2:$B$59,$A11,Activities!$C$2:$C$59,$B11)</f>
        <v>16</v>
      </c>
      <c r="E11" s="11" t="s">
        <v>1050</v>
      </c>
    </row>
    <row r="12" customFormat="false" ht="23.85" hidden="false" customHeight="false" outlineLevel="0" collapsed="false">
      <c r="A12" s="10" t="s">
        <v>24</v>
      </c>
      <c r="B12" s="10" t="s">
        <v>59</v>
      </c>
      <c r="C12" s="10" t="n">
        <f aca="false">COUNTIFS('Food &amp; Drink'!$B$2:$B$259,$A12,'Food &amp; Drink'!$C$2:$C$259,$B12)</f>
        <v>1</v>
      </c>
      <c r="D12" s="10" t="n">
        <f aca="false">COUNTIFS(Activities!$B$2:$B$59,$A12,Activities!$C$2:$C$59,$B12)</f>
        <v>0</v>
      </c>
      <c r="E12" s="10" t="s">
        <v>1050</v>
      </c>
    </row>
    <row r="13" customFormat="false" ht="23.85" hidden="false" customHeight="false" outlineLevel="0" collapsed="false">
      <c r="A13" s="11" t="s">
        <v>24</v>
      </c>
      <c r="B13" s="11" t="s">
        <v>78</v>
      </c>
      <c r="C13" s="11" t="n">
        <f aca="false">COUNTIFS('Food &amp; Drink'!$B$2:$B$259,$A13,'Food &amp; Drink'!$C$2:$C$259,$B13)</f>
        <v>3</v>
      </c>
      <c r="D13" s="11" t="n">
        <f aca="false">COUNTIFS(Activities!$B$2:$B$59,$A13,Activities!$C$2:$C$59,$B13)</f>
        <v>0</v>
      </c>
      <c r="E13" s="11" t="s">
        <v>1050</v>
      </c>
    </row>
    <row r="14" customFormat="false" ht="23.85" hidden="false" customHeight="false" outlineLevel="0" collapsed="false">
      <c r="A14" s="10" t="s">
        <v>24</v>
      </c>
      <c r="B14" s="10" t="s">
        <v>215</v>
      </c>
      <c r="C14" s="10" t="n">
        <f aca="false">COUNTIFS('Food &amp; Drink'!$B$2:$B$259,$A14,'Food &amp; Drink'!$C$2:$C$259,$B14)</f>
        <v>7</v>
      </c>
      <c r="D14" s="10" t="n">
        <f aca="false">COUNTIFS(Activities!$B$2:$B$59,$A14,Activities!$C$2:$C$59,$B14)</f>
        <v>0</v>
      </c>
      <c r="E14" s="10" t="s">
        <v>1050</v>
      </c>
    </row>
    <row r="15" customFormat="false" ht="23.85" hidden="false" customHeight="false" outlineLevel="0" collapsed="false">
      <c r="A15" s="11" t="s">
        <v>24</v>
      </c>
      <c r="B15" s="11" t="s">
        <v>182</v>
      </c>
      <c r="C15" s="11" t="n">
        <f aca="false">COUNTIFS('Food &amp; Drink'!$B$2:$B$259,$A15,'Food &amp; Drink'!$C$2:$C$259,$B15)</f>
        <v>1</v>
      </c>
      <c r="D15" s="11" t="n">
        <f aca="false">COUNTIFS(Activities!$B$2:$B$59,$A15,Activities!$C$2:$C$59,$B15)</f>
        <v>0</v>
      </c>
      <c r="E15" s="11" t="s">
        <v>1050</v>
      </c>
    </row>
    <row r="16" customFormat="false" ht="23.85" hidden="false" customHeight="false" outlineLevel="0" collapsed="false">
      <c r="A16" s="10" t="s">
        <v>24</v>
      </c>
      <c r="B16" s="10" t="s">
        <v>822</v>
      </c>
      <c r="C16" s="10" t="n">
        <f aca="false">COUNTIFS('Food &amp; Drink'!$B$2:$B$259,$A16,'Food &amp; Drink'!$C$2:$C$259,$B16)</f>
        <v>0</v>
      </c>
      <c r="D16" s="10" t="n">
        <f aca="false">COUNTIFS(Activities!$B$2:$B$59,$A16,Activities!$C$2:$C$59,$B16)</f>
        <v>1</v>
      </c>
      <c r="E16" s="10" t="s">
        <v>1050</v>
      </c>
    </row>
    <row r="17" customFormat="false" ht="23.85" hidden="false" customHeight="false" outlineLevel="0" collapsed="false">
      <c r="A17" s="11" t="s">
        <v>24</v>
      </c>
      <c r="B17" s="11" t="s">
        <v>872</v>
      </c>
      <c r="C17" s="11" t="n">
        <f aca="false">COUNTIFS('Food &amp; Drink'!$B$2:$B$259,$A17,'Food &amp; Drink'!$C$2:$C$259,$B17)</f>
        <v>0</v>
      </c>
      <c r="D17" s="11" t="n">
        <f aca="false">COUNTIFS(Activities!$B$2:$B$59,$A17,Activities!$C$2:$C$59,$B17)</f>
        <v>1</v>
      </c>
      <c r="E17" s="11" t="s">
        <v>1050</v>
      </c>
    </row>
    <row r="18" customFormat="false" ht="23.85" hidden="false" customHeight="false" outlineLevel="0" collapsed="false">
      <c r="A18" s="10" t="s">
        <v>24</v>
      </c>
      <c r="B18" s="10" t="s">
        <v>849</v>
      </c>
      <c r="C18" s="10" t="n">
        <f aca="false">COUNTIFS('Food &amp; Drink'!$B$2:$B$259,$A18,'Food &amp; Drink'!$C$2:$C$259,$B18)</f>
        <v>0</v>
      </c>
      <c r="D18" s="10" t="n">
        <f aca="false">COUNTIFS(Activities!$B$2:$B$59,$A18,Activities!$C$2:$C$59,$B18)</f>
        <v>1</v>
      </c>
      <c r="E18" s="10" t="s">
        <v>1050</v>
      </c>
    </row>
    <row r="19" customFormat="false" ht="23.85" hidden="false" customHeight="false" outlineLevel="0" collapsed="false">
      <c r="A19" s="11" t="s">
        <v>24</v>
      </c>
      <c r="B19" s="11" t="s">
        <v>74</v>
      </c>
      <c r="C19" s="11" t="n">
        <f aca="false">COUNTIFS('Food &amp; Drink'!$B$2:$B$259,$A19,'Food &amp; Drink'!$C$2:$C$259,$B19)</f>
        <v>2</v>
      </c>
      <c r="D19" s="11" t="n">
        <f aca="false">COUNTIFS(Activities!$B$2:$B$59,$A19,Activities!$C$2:$C$59,$B19)</f>
        <v>0</v>
      </c>
      <c r="E19" s="11" t="s">
        <v>1050</v>
      </c>
    </row>
    <row r="20" customFormat="false" ht="23.85" hidden="false" customHeight="false" outlineLevel="0" collapsed="false">
      <c r="A20" s="10" t="s">
        <v>24</v>
      </c>
      <c r="B20" s="10" t="s">
        <v>87</v>
      </c>
      <c r="C20" s="10" t="n">
        <f aca="false">COUNTIFS('Food &amp; Drink'!$B$2:$B$259,$A20,'Food &amp; Drink'!$C$2:$C$259,$B20)</f>
        <v>1</v>
      </c>
      <c r="D20" s="10" t="n">
        <f aca="false">COUNTIFS(Activities!$B$2:$B$59,$A20,Activities!$C$2:$C$59,$B20)</f>
        <v>0</v>
      </c>
      <c r="E20" s="10" t="s">
        <v>1050</v>
      </c>
    </row>
    <row r="21" customFormat="false" ht="23.85" hidden="false" customHeight="false" outlineLevel="0" collapsed="false">
      <c r="A21" s="11" t="s">
        <v>24</v>
      </c>
      <c r="B21" s="11" t="s">
        <v>118</v>
      </c>
      <c r="C21" s="11" t="n">
        <f aca="false">COUNTIFS('Food &amp; Drink'!$B$2:$B$259,$A21,'Food &amp; Drink'!$C$2:$C$259,$B21)</f>
        <v>1</v>
      </c>
      <c r="D21" s="11" t="n">
        <f aca="false">COUNTIFS(Activities!$B$2:$B$59,$A21,Activities!$C$2:$C$59,$B21)</f>
        <v>0</v>
      </c>
      <c r="E21" s="11" t="s">
        <v>1050</v>
      </c>
    </row>
    <row r="22" customFormat="false" ht="23.85" hidden="false" customHeight="false" outlineLevel="0" collapsed="false">
      <c r="A22" s="10" t="s">
        <v>20</v>
      </c>
      <c r="B22" s="10" t="s">
        <v>644</v>
      </c>
      <c r="C22" s="10" t="n">
        <f aca="false">COUNTIFS('Food &amp; Drink'!$B$2:$B$259,$A22,'Food &amp; Drink'!$C$2:$C$259,$B22)</f>
        <v>6</v>
      </c>
      <c r="D22" s="10" t="n">
        <f aca="false">COUNTIFS(Activities!$B$2:$B$59,$A22,Activities!$C$2:$C$59,$B22)</f>
        <v>1</v>
      </c>
      <c r="E22" s="10" t="s">
        <v>1050</v>
      </c>
    </row>
    <row r="23" customFormat="false" ht="23.85" hidden="false" customHeight="false" outlineLevel="0" collapsed="false">
      <c r="A23" s="11" t="s">
        <v>20</v>
      </c>
      <c r="B23" s="11" t="s">
        <v>708</v>
      </c>
      <c r="C23" s="11" t="n">
        <f aca="false">COUNTIFS('Food &amp; Drink'!$B$2:$B$259,$A23,'Food &amp; Drink'!$C$2:$C$259,$B23)</f>
        <v>1</v>
      </c>
      <c r="D23" s="11" t="n">
        <f aca="false">COUNTIFS(Activities!$B$2:$B$59,$A23,Activities!$C$2:$C$59,$B23)</f>
        <v>0</v>
      </c>
      <c r="E23" s="11" t="s">
        <v>1050</v>
      </c>
    </row>
    <row r="24" customFormat="false" ht="23.85" hidden="false" customHeight="false" outlineLevel="0" collapsed="false">
      <c r="A24" s="10" t="s">
        <v>20</v>
      </c>
      <c r="B24" s="10" t="s">
        <v>651</v>
      </c>
      <c r="C24" s="10" t="n">
        <f aca="false">COUNTIFS('Food &amp; Drink'!$B$2:$B$259,$A24,'Food &amp; Drink'!$C$2:$C$259,$B24)</f>
        <v>27</v>
      </c>
      <c r="D24" s="10" t="n">
        <f aca="false">COUNTIFS(Activities!$B$2:$B$59,$A24,Activities!$C$2:$C$59,$B24)</f>
        <v>8</v>
      </c>
      <c r="E24" s="10" t="s">
        <v>1050</v>
      </c>
    </row>
    <row r="25" customFormat="false" ht="23.85" hidden="false" customHeight="false" outlineLevel="0" collapsed="false">
      <c r="A25" s="11" t="s">
        <v>20</v>
      </c>
      <c r="B25" s="11" t="s">
        <v>638</v>
      </c>
      <c r="C25" s="11" t="n">
        <f aca="false">COUNTIFS('Food &amp; Drink'!$B$2:$B$259,$A25,'Food &amp; Drink'!$C$2:$C$259,$B25)</f>
        <v>7</v>
      </c>
      <c r="D25" s="11" t="n">
        <f aca="false">COUNTIFS(Activities!$B$2:$B$59,$A25,Activities!$C$2:$C$59,$B25)</f>
        <v>3</v>
      </c>
      <c r="E25" s="11" t="s">
        <v>1050</v>
      </c>
    </row>
    <row r="26" customFormat="false" ht="23.85" hidden="false" customHeight="false" outlineLevel="0" collapsed="false">
      <c r="A26" s="10" t="s">
        <v>16</v>
      </c>
      <c r="B26" s="10" t="s">
        <v>955</v>
      </c>
      <c r="C26" s="10" t="n">
        <f aca="false">COUNTIFS('Food &amp; Drink'!$B$2:$B$259,$A26,'Food &amp; Drink'!$C$2:$C$259,$B26)</f>
        <v>0</v>
      </c>
      <c r="D26" s="10" t="n">
        <f aca="false">COUNTIFS(Activities!$B$2:$B$59,$A26,Activities!$C$2:$C$59,$B26)</f>
        <v>1</v>
      </c>
      <c r="E26" s="10" t="s">
        <v>1050</v>
      </c>
    </row>
    <row r="27" customFormat="false" ht="23.85" hidden="false" customHeight="false" outlineLevel="0" collapsed="false">
      <c r="A27" s="11" t="s">
        <v>16</v>
      </c>
      <c r="B27" s="11" t="s">
        <v>16</v>
      </c>
      <c r="C27" s="11" t="n">
        <f aca="false">COUNTIFS('Food &amp; Drink'!$B$2:$B$259,$A27,'Food &amp; Drink'!$C$2:$C$259,$B27)</f>
        <v>27</v>
      </c>
      <c r="D27" s="11" t="n">
        <f aca="false">COUNTIFS(Activities!$B$2:$B$59,$A27,Activities!$C$2:$C$59,$B27)</f>
        <v>3</v>
      </c>
      <c r="E27" s="11" t="s">
        <v>1050</v>
      </c>
    </row>
    <row r="28" customFormat="false" ht="23.85" hidden="false" customHeight="false" outlineLevel="0" collapsed="false">
      <c r="A28" s="10" t="s">
        <v>12</v>
      </c>
      <c r="B28" s="10" t="s">
        <v>929</v>
      </c>
      <c r="C28" s="10" t="n">
        <f aca="false">COUNTIFS('Food &amp; Drink'!$B$2:$B$259,$A28,'Food &amp; Drink'!$C$2:$C$259,$B28)</f>
        <v>0</v>
      </c>
      <c r="D28" s="10" t="n">
        <f aca="false">COUNTIFS(Activities!$B$2:$B$59,$A28,Activities!$C$2:$C$59,$B28)</f>
        <v>1</v>
      </c>
      <c r="E28" s="10" t="s">
        <v>1050</v>
      </c>
    </row>
    <row r="29" customFormat="false" ht="23.85" hidden="false" customHeight="false" outlineLevel="0" collapsed="false">
      <c r="A29" s="11" t="s">
        <v>12</v>
      </c>
      <c r="B29" s="11" t="s">
        <v>530</v>
      </c>
      <c r="C29" s="11" t="n">
        <f aca="false">COUNTIFS('Food &amp; Drink'!$B$2:$B$259,$A29,'Food &amp; Drink'!$C$2:$C$259,$B29)</f>
        <v>16</v>
      </c>
      <c r="D29" s="11" t="n">
        <f aca="false">COUNTIFS(Activities!$B$2:$B$59,$A29,Activities!$C$2:$C$59,$B29)</f>
        <v>0</v>
      </c>
      <c r="E29" s="11" t="s">
        <v>1050</v>
      </c>
    </row>
    <row r="30" customFormat="false" ht="23.85" hidden="false" customHeight="false" outlineLevel="0" collapsed="false">
      <c r="A30" s="10" t="s">
        <v>12</v>
      </c>
      <c r="B30" s="10" t="s">
        <v>391</v>
      </c>
      <c r="C30" s="10" t="n">
        <f aca="false">COUNTIFS('Food &amp; Drink'!$B$2:$B$259,$A30,'Food &amp; Drink'!$C$2:$C$259,$B30)</f>
        <v>1</v>
      </c>
      <c r="D30" s="10" t="n">
        <f aca="false">COUNTIFS(Activities!$B$2:$B$59,$A30,Activities!$C$2:$C$59,$B30)</f>
        <v>0</v>
      </c>
      <c r="E30" s="10" t="s">
        <v>1050</v>
      </c>
    </row>
    <row r="31" customFormat="false" ht="23.85" hidden="false" customHeight="false" outlineLevel="0" collapsed="false">
      <c r="A31" s="11" t="s">
        <v>12</v>
      </c>
      <c r="B31" s="11" t="s">
        <v>922</v>
      </c>
      <c r="C31" s="11" t="n">
        <f aca="false">COUNTIFS('Food &amp; Drink'!$B$2:$B$259,$A31,'Food &amp; Drink'!$C$2:$C$259,$B31)</f>
        <v>0</v>
      </c>
      <c r="D31" s="11" t="n">
        <f aca="false">COUNTIFS(Activities!$B$2:$B$59,$A31,Activities!$C$2:$C$59,$B31)</f>
        <v>1</v>
      </c>
      <c r="E31" s="11" t="s">
        <v>1050</v>
      </c>
    </row>
    <row r="32" customFormat="false" ht="23.85" hidden="false" customHeight="false" outlineLevel="0" collapsed="false">
      <c r="A32" s="10" t="s">
        <v>12</v>
      </c>
      <c r="B32" s="10" t="s">
        <v>12</v>
      </c>
      <c r="C32" s="10" t="n">
        <f aca="false">COUNTIFS('Food &amp; Drink'!$B$2:$B$259,$A32,'Food &amp; Drink'!$C$2:$C$259,$B32)</f>
        <v>45</v>
      </c>
      <c r="D32" s="10" t="n">
        <f aca="false">COUNTIFS(Activities!$B$2:$B$59,$A32,Activities!$C$2:$C$59,$B32)</f>
        <v>2</v>
      </c>
      <c r="E32" s="10" t="s">
        <v>1050</v>
      </c>
    </row>
    <row r="33" customFormat="false" ht="23.85" hidden="false" customHeight="false" outlineLevel="0" collapsed="false">
      <c r="A33" s="11" t="s">
        <v>12</v>
      </c>
      <c r="B33" s="11" t="s">
        <v>880</v>
      </c>
      <c r="C33" s="11" t="n">
        <f aca="false">COUNTIFS('Food &amp; Drink'!$B$2:$B$259,$A33,'Food &amp; Drink'!$C$2:$C$259,$B33)</f>
        <v>0</v>
      </c>
      <c r="D33" s="11" t="n">
        <f aca="false">COUNTIFS(Activities!$B$2:$B$59,$A33,Activities!$C$2:$C$59,$B33)</f>
        <v>1</v>
      </c>
      <c r="E33" s="11" t="s">
        <v>1050</v>
      </c>
    </row>
    <row r="34" customFormat="false" ht="23.85" hidden="false" customHeight="false" outlineLevel="0" collapsed="false">
      <c r="A34" s="10" t="s">
        <v>12</v>
      </c>
      <c r="B34" s="10" t="s">
        <v>426</v>
      </c>
      <c r="C34" s="10" t="n">
        <f aca="false">COUNTIFS('Food &amp; Drink'!$B$2:$B$259,$A34,'Food &amp; Drink'!$C$2:$C$259,$B34)</f>
        <v>2</v>
      </c>
      <c r="D34" s="10" t="n">
        <f aca="false">COUNTIFS(Activities!$B$2:$B$59,$A34,Activities!$C$2:$C$59,$B34)</f>
        <v>7</v>
      </c>
      <c r="E34" s="10" t="s">
        <v>1050</v>
      </c>
    </row>
    <row r="35" customFormat="false" ht="23.85" hidden="false" customHeight="false" outlineLevel="0" collapsed="false">
      <c r="A35" s="11" t="s">
        <v>12</v>
      </c>
      <c r="B35" s="11" t="s">
        <v>318</v>
      </c>
      <c r="C35" s="11" t="n">
        <f aca="false">COUNTIFS('Food &amp; Drink'!$B$2:$B$259,$A35,'Food &amp; Drink'!$C$2:$C$259,$B35)</f>
        <v>2</v>
      </c>
      <c r="D35" s="11" t="n">
        <f aca="false">COUNTIFS(Activities!$B$2:$B$59,$A35,Activities!$C$2:$C$59,$B35)</f>
        <v>0</v>
      </c>
      <c r="E35" s="11" t="s">
        <v>1050</v>
      </c>
    </row>
    <row r="36" customFormat="false" ht="23.85" hidden="false" customHeight="false" outlineLevel="0" collapsed="false">
      <c r="A36" s="10" t="s">
        <v>12</v>
      </c>
      <c r="B36" s="10" t="s">
        <v>314</v>
      </c>
      <c r="C36" s="10" t="n">
        <f aca="false">COUNTIFS('Food &amp; Drink'!$B$2:$B$259,$A36,'Food &amp; Drink'!$C$2:$C$259,$B36)</f>
        <v>3</v>
      </c>
      <c r="D36" s="10" t="n">
        <f aca="false">COUNTIFS(Activities!$B$2:$B$59,$A36,Activities!$C$2:$C$59,$B36)</f>
        <v>0</v>
      </c>
      <c r="E36" s="10" t="s">
        <v>1050</v>
      </c>
    </row>
    <row r="37" customFormat="false" ht="23.85" hidden="false" customHeight="false" outlineLevel="0" collapsed="false">
      <c r="A37" s="11" t="s">
        <v>12</v>
      </c>
      <c r="B37" s="11" t="s">
        <v>917</v>
      </c>
      <c r="C37" s="11" t="n">
        <f aca="false">COUNTIFS('Food &amp; Drink'!$B$2:$B$259,$A37,'Food &amp; Drink'!$C$2:$C$259,$B37)</f>
        <v>0</v>
      </c>
      <c r="D37" s="11" t="n">
        <f aca="false">COUNTIFS(Activities!$B$2:$B$59,$A37,Activities!$C$2:$C$59,$B37)</f>
        <v>1</v>
      </c>
      <c r="E37" s="11" t="s">
        <v>1050</v>
      </c>
    </row>
    <row r="38" customFormat="false" ht="23.85" hidden="false" customHeight="false" outlineLevel="0" collapsed="false">
      <c r="A38" s="10" t="s">
        <v>12</v>
      </c>
      <c r="B38" s="10" t="s">
        <v>566</v>
      </c>
      <c r="C38" s="10" t="n">
        <f aca="false">COUNTIFS('Food &amp; Drink'!$B$2:$B$259,$A38,'Food &amp; Drink'!$C$2:$C$259,$B38)</f>
        <v>1</v>
      </c>
      <c r="D38" s="10" t="n">
        <f aca="false">COUNTIFS(Activities!$B$2:$B$59,$A38,Activities!$C$2:$C$59,$B38)</f>
        <v>0</v>
      </c>
      <c r="E38" s="10" t="s">
        <v>1050</v>
      </c>
    </row>
    <row r="39" customFormat="false" ht="23.85" hidden="false" customHeight="false" outlineLevel="0" collapsed="false">
      <c r="A39" s="11" t="s">
        <v>12</v>
      </c>
      <c r="B39" s="11" t="s">
        <v>309</v>
      </c>
      <c r="C39" s="11" t="n">
        <f aca="false">COUNTIFS('Food &amp; Drink'!$B$2:$B$259,$A39,'Food &amp; Drink'!$C$2:$C$259,$B39)</f>
        <v>2</v>
      </c>
      <c r="D39" s="11" t="n">
        <f aca="false">COUNTIFS(Activities!$B$2:$B$59,$A39,Activities!$C$2:$C$59,$B39)</f>
        <v>1</v>
      </c>
      <c r="E39" s="11" t="s">
        <v>1050</v>
      </c>
    </row>
    <row r="40" customFormat="false" ht="23.85" hidden="false" customHeight="false" outlineLevel="0" collapsed="false">
      <c r="A40" s="10" t="s">
        <v>12</v>
      </c>
      <c r="B40" s="10" t="s">
        <v>389</v>
      </c>
      <c r="C40" s="10" t="n">
        <f aca="false">COUNTIFS('Food &amp; Drink'!$B$2:$B$259,$A40,'Food &amp; Drink'!$C$2:$C$259,$B40)</f>
        <v>1</v>
      </c>
      <c r="D40" s="10" t="n">
        <f aca="false">COUNTIFS(Activities!$B$2:$B$59,$A40,Activities!$C$2:$C$59,$B40)</f>
        <v>0</v>
      </c>
      <c r="E40" s="10" t="s">
        <v>1050</v>
      </c>
    </row>
    <row r="41" customFormat="false" ht="23.85" hidden="false" customHeight="false" outlineLevel="0" collapsed="false">
      <c r="A41" s="11" t="s">
        <v>12</v>
      </c>
      <c r="B41" s="11" t="s">
        <v>461</v>
      </c>
      <c r="C41" s="11" t="n">
        <f aca="false">COUNTIFS('Food &amp; Drink'!$B$2:$B$259,$A41,'Food &amp; Drink'!$C$2:$C$259,$B41)</f>
        <v>29</v>
      </c>
      <c r="D41" s="11" t="n">
        <f aca="false">COUNTIFS(Activities!$B$2:$B$59,$A41,Activities!$C$2:$C$59,$B41)</f>
        <v>0</v>
      </c>
      <c r="E41" s="11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46"/>
    <col collapsed="false" customWidth="true" hidden="false" outlineLevel="0" max="4" min="4" style="0" width="52"/>
  </cols>
  <sheetData>
    <row r="1" customFormat="false" ht="27.75" hidden="false" customHeight="true" outlineLevel="0" collapsed="false">
      <c r="A1" s="9" t="s">
        <v>6</v>
      </c>
      <c r="B1" s="9" t="s">
        <v>1051</v>
      </c>
      <c r="C1" s="9" t="s">
        <v>1052</v>
      </c>
      <c r="D1" s="9" t="s">
        <v>1053</v>
      </c>
    </row>
    <row r="2" customFormat="false" ht="43.5" hidden="false" customHeight="true" outlineLevel="0" collapsed="false">
      <c r="A2" s="10" t="s">
        <v>12</v>
      </c>
      <c r="B2" s="10" t="s">
        <v>1054</v>
      </c>
      <c r="C2" s="10" t="s">
        <v>1055</v>
      </c>
      <c r="D2" s="10" t="s">
        <v>1056</v>
      </c>
    </row>
    <row r="3" customFormat="false" ht="43.5" hidden="false" customHeight="true" outlineLevel="0" collapsed="false">
      <c r="A3" s="11" t="s">
        <v>16</v>
      </c>
      <c r="B3" s="11" t="s">
        <v>1057</v>
      </c>
      <c r="C3" s="11" t="s">
        <v>1058</v>
      </c>
      <c r="D3" s="11" t="s">
        <v>1059</v>
      </c>
    </row>
    <row r="4" customFormat="false" ht="43.5" hidden="false" customHeight="true" outlineLevel="0" collapsed="false">
      <c r="A4" s="10" t="s">
        <v>20</v>
      </c>
      <c r="B4" s="10" t="s">
        <v>1060</v>
      </c>
      <c r="C4" s="10" t="s">
        <v>1061</v>
      </c>
      <c r="D4" s="10" t="s">
        <v>1062</v>
      </c>
    </row>
    <row r="5" customFormat="false" ht="43.5" hidden="false" customHeight="true" outlineLevel="0" collapsed="false">
      <c r="A5" s="11" t="s">
        <v>24</v>
      </c>
      <c r="B5" s="11" t="s">
        <v>1063</v>
      </c>
      <c r="C5" s="11" t="s">
        <v>1064</v>
      </c>
      <c r="D5" s="11" t="s">
        <v>1065</v>
      </c>
    </row>
    <row r="6" customFormat="false" ht="43.5" hidden="false" customHeight="true" outlineLevel="0" collapsed="false">
      <c r="A6" s="10" t="s">
        <v>28</v>
      </c>
      <c r="B6" s="10" t="s">
        <v>1066</v>
      </c>
      <c r="C6" s="10" t="s">
        <v>1067</v>
      </c>
      <c r="D6" s="10" t="s">
        <v>1068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9" t="s">
        <v>1069</v>
      </c>
      <c r="B1" s="9" t="s">
        <v>1070</v>
      </c>
      <c r="C1" s="9" t="s">
        <v>1071</v>
      </c>
      <c r="D1" s="9" t="s">
        <v>1072</v>
      </c>
    </row>
    <row r="2" customFormat="false" ht="30" hidden="false" customHeight="true" outlineLevel="0" collapsed="false">
      <c r="A2" s="10" t="s">
        <v>1073</v>
      </c>
      <c r="B2" s="10" t="s">
        <v>65</v>
      </c>
      <c r="C2" s="10" t="s">
        <v>24</v>
      </c>
      <c r="D2" s="10" t="s">
        <v>1074</v>
      </c>
    </row>
    <row r="3" customFormat="false" ht="30" hidden="false" customHeight="true" outlineLevel="0" collapsed="false">
      <c r="A3" s="11" t="s">
        <v>1075</v>
      </c>
      <c r="B3" s="11" t="s">
        <v>84</v>
      </c>
      <c r="C3" s="11" t="s">
        <v>24</v>
      </c>
      <c r="D3" s="11" t="s">
        <v>1076</v>
      </c>
    </row>
    <row r="4" customFormat="false" ht="30" hidden="false" customHeight="true" outlineLevel="0" collapsed="false">
      <c r="A4" s="10" t="s">
        <v>1077</v>
      </c>
      <c r="B4" s="10" t="s">
        <v>785</v>
      </c>
      <c r="C4" s="10" t="s">
        <v>24</v>
      </c>
      <c r="D4" s="10" t="s">
        <v>1078</v>
      </c>
    </row>
    <row r="5" customFormat="false" ht="30" hidden="false" customHeight="true" outlineLevel="0" collapsed="false">
      <c r="A5" s="11" t="s">
        <v>1079</v>
      </c>
      <c r="B5" s="11" t="s">
        <v>311</v>
      </c>
      <c r="C5" s="11" t="s">
        <v>1080</v>
      </c>
      <c r="D5" s="11" t="s">
        <v>1081</v>
      </c>
    </row>
    <row r="6" customFormat="false" ht="30" hidden="false" customHeight="true" outlineLevel="0" collapsed="false">
      <c r="A6" s="10" t="s">
        <v>1082</v>
      </c>
      <c r="B6" s="10" t="s">
        <v>884</v>
      </c>
      <c r="C6" s="10" t="s">
        <v>12</v>
      </c>
      <c r="D6" s="10" t="s">
        <v>1083</v>
      </c>
    </row>
    <row r="7" customFormat="false" ht="30" hidden="false" customHeight="true" outlineLevel="0" collapsed="false">
      <c r="A7" s="11" t="s">
        <v>1084</v>
      </c>
      <c r="B7" s="11" t="s">
        <v>641</v>
      </c>
      <c r="C7" s="11" t="s">
        <v>20</v>
      </c>
      <c r="D7" s="11" t="s">
        <v>1085</v>
      </c>
    </row>
    <row r="8" customFormat="false" ht="30" hidden="false" customHeight="true" outlineLevel="0" collapsed="false">
      <c r="A8" s="10" t="s">
        <v>1086</v>
      </c>
      <c r="B8" s="10" t="s">
        <v>966</v>
      </c>
      <c r="C8" s="10" t="s">
        <v>20</v>
      </c>
      <c r="D8" s="10" t="s">
        <v>1087</v>
      </c>
    </row>
    <row r="9" customFormat="false" ht="30" hidden="false" customHeight="true" outlineLevel="0" collapsed="false">
      <c r="A9" s="11" t="s">
        <v>1088</v>
      </c>
      <c r="B9" s="11" t="s">
        <v>774</v>
      </c>
      <c r="C9" s="11" t="s">
        <v>28</v>
      </c>
      <c r="D9" s="11" t="s">
        <v>1089</v>
      </c>
    </row>
    <row r="10" customFormat="false" ht="30" hidden="false" customHeight="true" outlineLevel="0" collapsed="false">
      <c r="A10" s="10" t="s">
        <v>1090</v>
      </c>
      <c r="B10" s="10" t="s">
        <v>943</v>
      </c>
      <c r="C10" s="10" t="s">
        <v>16</v>
      </c>
      <c r="D10" s="10" t="s">
        <v>1091</v>
      </c>
    </row>
    <row r="11" customFormat="false" ht="30" hidden="false" customHeight="true" outlineLevel="0" collapsed="false">
      <c r="A11" s="11" t="s">
        <v>1092</v>
      </c>
      <c r="B11" s="11" t="s">
        <v>926</v>
      </c>
      <c r="C11" s="11" t="s">
        <v>1093</v>
      </c>
      <c r="D11" s="11" t="s">
        <v>1094</v>
      </c>
    </row>
    <row r="12" customFormat="false" ht="30" hidden="false" customHeight="true" outlineLevel="0" collapsed="false">
      <c r="A12" s="10" t="s">
        <v>1095</v>
      </c>
      <c r="B12" s="10" t="s">
        <v>146</v>
      </c>
      <c r="C12" s="10" t="s">
        <v>24</v>
      </c>
      <c r="D12" s="10" t="s">
        <v>1096</v>
      </c>
    </row>
    <row r="13" customFormat="false" ht="30" hidden="false" customHeight="true" outlineLevel="0" collapsed="false">
      <c r="A13" s="11" t="s">
        <v>1097</v>
      </c>
      <c r="B13" s="11" t="s">
        <v>342</v>
      </c>
      <c r="C13" s="11" t="s">
        <v>12</v>
      </c>
      <c r="D13" s="11" t="s">
        <v>1098</v>
      </c>
    </row>
    <row r="14" customFormat="false" ht="30" hidden="false" customHeight="true" outlineLevel="0" collapsed="false">
      <c r="A14" s="10" t="s">
        <v>1099</v>
      </c>
      <c r="B14" s="10" t="s">
        <v>463</v>
      </c>
      <c r="C14" s="10" t="s">
        <v>12</v>
      </c>
      <c r="D14" s="10" t="s">
        <v>1100</v>
      </c>
    </row>
    <row r="15" customFormat="false" ht="30" hidden="false" customHeight="true" outlineLevel="0" collapsed="false">
      <c r="A15" s="11" t="s">
        <v>1101</v>
      </c>
      <c r="B15" s="11" t="s">
        <v>532</v>
      </c>
      <c r="C15" s="11" t="s">
        <v>12</v>
      </c>
      <c r="D15" s="11" t="s">
        <v>1102</v>
      </c>
    </row>
    <row r="16" customFormat="false" ht="30" hidden="false" customHeight="true" outlineLevel="0" collapsed="false">
      <c r="A16" s="10" t="s">
        <v>1103</v>
      </c>
      <c r="B16" s="10" t="s">
        <v>578</v>
      </c>
      <c r="C16" s="10" t="s">
        <v>16</v>
      </c>
      <c r="D16" s="10" t="s">
        <v>1104</v>
      </c>
    </row>
    <row r="17" customFormat="false" ht="30" hidden="false" customHeight="true" outlineLevel="0" collapsed="false">
      <c r="A17" s="11" t="s">
        <v>1105</v>
      </c>
      <c r="B17" s="11" t="s">
        <v>679</v>
      </c>
      <c r="C17" s="11" t="s">
        <v>20</v>
      </c>
      <c r="D17" s="11" t="s">
        <v>1106</v>
      </c>
    </row>
    <row r="18" customFormat="false" ht="30" hidden="false" customHeight="true" outlineLevel="0" collapsed="false">
      <c r="A18" s="10" t="s">
        <v>1107</v>
      </c>
      <c r="B18" s="10" t="s">
        <v>273</v>
      </c>
      <c r="C18" s="10" t="s">
        <v>24</v>
      </c>
      <c r="D18" s="10" t="s">
        <v>1108</v>
      </c>
    </row>
    <row r="19" customFormat="false" ht="30" hidden="false" customHeight="true" outlineLevel="0" collapsed="false">
      <c r="A19" s="11" t="s">
        <v>1109</v>
      </c>
      <c r="B19" s="11" t="s">
        <v>753</v>
      </c>
      <c r="C19" s="11" t="s">
        <v>28</v>
      </c>
      <c r="D19" s="11" t="s">
        <v>1110</v>
      </c>
    </row>
    <row r="20" customFormat="false" ht="30" hidden="false" customHeight="true" outlineLevel="0" collapsed="false">
      <c r="A20" s="10" t="s">
        <v>1111</v>
      </c>
      <c r="B20" s="10" t="s">
        <v>877</v>
      </c>
      <c r="C20" s="10" t="s">
        <v>1112</v>
      </c>
      <c r="D20" s="10" t="s">
        <v>1113</v>
      </c>
    </row>
    <row r="21" customFormat="false" ht="30" hidden="false" customHeight="true" outlineLevel="0" collapsed="false">
      <c r="A21" s="11" t="s">
        <v>1114</v>
      </c>
      <c r="B21" s="11" t="s">
        <v>1013</v>
      </c>
      <c r="C21" s="11" t="s">
        <v>28</v>
      </c>
      <c r="D21" s="11" t="s">
        <v>1115</v>
      </c>
    </row>
    <row r="22" customFormat="false" ht="30" hidden="false" customHeight="true" outlineLevel="0" collapsed="false">
      <c r="A22" s="10" t="s">
        <v>1116</v>
      </c>
      <c r="B22" s="10" t="s">
        <v>1021</v>
      </c>
      <c r="C22" s="10" t="s">
        <v>28</v>
      </c>
      <c r="D22" s="10" t="s">
        <v>1117</v>
      </c>
    </row>
    <row r="23" customFormat="false" ht="30" hidden="false" customHeight="true" outlineLevel="0" collapsed="false">
      <c r="A23" s="11" t="s">
        <v>1118</v>
      </c>
      <c r="B23" s="11" t="s">
        <v>1035</v>
      </c>
      <c r="C23" s="11" t="s">
        <v>28</v>
      </c>
      <c r="D23" s="11" t="s">
        <v>1119</v>
      </c>
    </row>
    <row r="24" customFormat="false" ht="30" hidden="false" customHeight="true" outlineLevel="0" collapsed="false">
      <c r="A24" s="10" t="s">
        <v>860</v>
      </c>
      <c r="B24" s="10" t="s">
        <v>863</v>
      </c>
      <c r="C24" s="10" t="s">
        <v>24</v>
      </c>
      <c r="D24" s="10" t="s">
        <v>1120</v>
      </c>
    </row>
    <row r="25" customFormat="false" ht="30" hidden="false" customHeight="true" outlineLevel="0" collapsed="false">
      <c r="A25" s="11" t="s">
        <v>1121</v>
      </c>
      <c r="B25" s="11" t="s">
        <v>123</v>
      </c>
      <c r="C25" s="11" t="s">
        <v>24</v>
      </c>
      <c r="D25" s="11" t="s">
        <v>1122</v>
      </c>
    </row>
    <row r="26" customFormat="false" ht="30" hidden="false" customHeight="true" outlineLevel="0" collapsed="false">
      <c r="A26" s="10" t="s">
        <v>1123</v>
      </c>
      <c r="B26" s="10" t="s">
        <v>981</v>
      </c>
      <c r="C26" s="10" t="s">
        <v>20</v>
      </c>
      <c r="D26" s="10" t="s">
        <v>1124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2026-09-10T17:41:08Z</dcterms:created>
  <dc:creator>openpyxl</dc:creator>
  <dc:description/>
  <dc:language>en-US</dc:language>
  <cp:lastModifiedBy/>
  <dcterms:modified xsi:type="dcterms:W3CDTF">2026-09-10T17:41:09Z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