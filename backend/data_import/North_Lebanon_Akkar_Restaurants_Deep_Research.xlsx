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d50ebc7cf14f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386c6cfbe32942b9"/>
    <x:sheet xmlns:r="http://schemas.openxmlformats.org/officeDocument/2006/relationships" name="Area Summary" sheetId="2" r:id="R88def4b9c983439d"/>
    <x:sheet xmlns:r="http://schemas.openxmlformats.org/officeDocument/2006/relationships" name="Restaurants" sheetId="3" r:id="R48e7b31e40bb4a48"/>
    <x:sheet xmlns:r="http://schemas.openxmlformats.org/officeDocument/2006/relationships" name="Locality Summary" sheetId="4" r:id="Rcf0aeb21654f4561"/>
    <x:sheet xmlns:r="http://schemas.openxmlformats.org/officeDocument/2006/relationships" name="Method &amp; Sources" sheetId="5" r:id="R88fc13690f2544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B2E1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B2E1F"/>
      </x:patternFill>
    </x:fill>
    <x:fill>
      <x:patternFill patternType="solid">
        <x:fgColor rgb="FFE8D9CC"/>
      </x:patternFill>
    </x:fill>
    <x:fill>
      <x:patternFill patternType="solid">
        <x:fgColor rgb="FF7B4F35"/>
      </x:patternFill>
    </x:fill>
  </x:fills>
  <x:borders count="2">
    <x:border/>
    <x:border/>
  </x:borders>
  <x:cellStyleXfs count="1">
    <x:xf numFmtId="0" fontId="0" fillId="0" borderId="0"/>
  </x:cellStyleXfs>
  <x:cellXfs count="3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E2F0D9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14f004aedf4d52" /><Relationship Type="http://schemas.openxmlformats.org/officeDocument/2006/relationships/theme" Target="/xl/theme/theme1.xml" Id="R9ff6cb07584e47eb" /><Relationship Type="http://schemas.openxmlformats.org/officeDocument/2006/relationships/sharedStrings" Target="/xl/sharedStrings.xml" Id="R6227bb6979c245e5" /><Relationship Type="http://schemas.openxmlformats.org/officeDocument/2006/relationships/worksheet" Target="/xl/worksheets/sheet1.xml" Id="R386c6cfbe32942b9" /><Relationship Type="http://schemas.openxmlformats.org/officeDocument/2006/relationships/worksheet" Target="/xl/worksheets/sheet2.xml" Id="R88def4b9c983439d" /><Relationship Type="http://schemas.openxmlformats.org/officeDocument/2006/relationships/worksheet" Target="/xl/worksheets/sheet3.xml" Id="R48e7b31e40bb4a48" /><Relationship Type="http://schemas.openxmlformats.org/officeDocument/2006/relationships/worksheet" Target="/xl/worksheets/sheet4.xml" Id="Rcf0aeb21654f4561" /><Relationship Type="http://schemas.openxmlformats.org/officeDocument/2006/relationships/worksheet" Target="/xl/worksheets/sheet5.xml" Id="R88fc13690f2544d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eefa2a461e34b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Restaurant records by area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'Overview'!$G$5:$G$9</c:f>
              <c:strCache>
                <c:ptCount val="0"/>
              </c:strCache>
            </c:strRef>
          </c:cat>
          <c:val>
            <c:numRef>
              <c:f>'Overview'!$H$5:$H$9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12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efa2a461e34bb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2" name="AreaSummaryTable" displayName="AreaSummaryTable" ref="A1:H6" headerRowCount="1" totalsRowCount="0" totalsRowShown="0">
  <x:tableColumns count="8">
    <x:tableColumn id="1" name="Area"/>
    <x:tableColumn id="2" name="Geographic Scope"/>
    <x:tableColumn id="3" name="Restaurant Records"/>
    <x:tableColumn id="4" name="High Confidence"/>
    <x:tableColumn id="5" name="Medium/Low Confidence"/>
    <x:tableColumn id="6" name="Needs Verification"/>
    <x:tableColumn id="7" name="Localities Represented"/>
    <x:tableColumn id="8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NorthRestaurantsTable" displayName="NorthRestaurantsTable" ref="A1:P290" headerRowCount="1" totalsRowCount="0" totalsRowShown="0">
  <x:tableColumns count="16">
    <x:tableColumn id="1" name="ID"/>
    <x:tableColumn id="2" name="Area"/>
    <x:tableColumn id="3" name="Exact Locality"/>
    <x:tableColumn id="4" name="Restaurant Name"/>
    <x:tableColumn id="5" name="Type / Cuisine"/>
    <x:tableColumn id="6" name="Status"/>
    <x:tableColumn id="7" name="Phone"/>
    <x:tableColumn id="8" name="Rating"/>
    <x:tableColumn id="9" name="Reviews"/>
    <x:tableColumn id="10" name="Hours"/>
    <x:tableColumn id="11" name="Confidence"/>
    <x:tableColumn id="12" name="Evidence"/>
    <x:tableColumn id="13" name="Source URL"/>
    <x:tableColumn id="14" name="Map / Search Link"/>
    <x:tableColumn id="15" name="Notes"/>
    <x:tableColumn id="16" name="Last Checke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ocalitySummaryTable" displayName="LocalitySummaryTable" ref="A1:D19" headerRowCount="1" totalsRowCount="0" totalsRowShown="0">
  <x:tableColumns count="4">
    <x:tableColumn id="1" name="Area"/>
    <x:tableColumn id="2" name="Exact Locality"/>
    <x:tableColumn id="3" name="Restaurant Count"/>
    <x:tableColumn id="4" name="Research 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sTable" displayName="SourcesTable" ref="A1:D20" headerRowCount="1" totalsRowCount="0" totalsRowShown="0">
  <x:tableColumns count="4">
    <x:tableColumn id="1" name="Source"/>
    <x:tableColumn id="2" name="URL"/>
    <x:tableColumn id="3" name="Coverage"/>
    <x:tableColumn id="4" name="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878c5f847d7458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0b3bf3b906f412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da5f214dc244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c97deb52c224c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c60adedafde43b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2" hidden="0" customWidth="1"/>
    <x:col min="4" max="4" width="25" hidden="0" customWidth="1"/>
    <x:col min="5" max="5" width="16" hidden="0" customWidth="1"/>
    <x:col min="7" max="7" width="18" hidden="0" customWidth="1"/>
    <x:col min="8" max="8" width="14" hidden="0" customWidth="1"/>
  </x:cols>
  <x:sheetData>
    <x:row r="1" ht="28" customHeight="1">
      <x:c r="A1" s="5" t="str">
        <x:v>North Lebanon &amp; Akkar — Restaurant Deep Research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2" t="str">
        <x:v>Batroun • Tripoli • Ehden • Bsharri • Akkar | Public evidence checked 8 September 2026</x:v>
      </x:c>
      <x:c r="B2" s="12"/>
      <x:c r="C2" s="12"/>
      <x:c r="D2" s="12"/>
      <x:c r="E2" s="12"/>
      <x:c r="F2" s="12"/>
      <x:c r="G2" s="12"/>
      <x:c r="H2" s="12"/>
    </x:row>
    <x:row r="4">
      <x:c r="A4" s="26" t="str">
        <x:v>Scope</x:v>
      </x:c>
      <x:c r="B4" s="26" t="str">
        <x:v>Publicly verifiable restaurants, fast-food restaurants, seafood, grills, traditional Lebanese, pizza, international restaurants and explicit resto-cafés.</x:v>
      </x:c>
      <x:c r="C4" s="26"/>
      <x:c r="D4" s="20" t="str">
        <x:v>KPI</x:v>
      </x:c>
      <x:c r="E4" s="20" t="str">
        <x:v>Value</x:v>
      </x:c>
      <x:c r="F4" s="26"/>
      <x:c r="G4" s="20" t="str">
        <x:v>Area</x:v>
      </x:c>
      <x:c r="H4" s="20" t="str">
        <x:v>Records</x:v>
      </x:c>
    </x:row>
    <x:row r="5">
      <x:c r="A5" s="26" t="str">
        <x:v>Geographic rule</x:v>
      </x:c>
      <x:c r="B5" s="26" t="str">
        <x:v>Every restaurant has an Exact Locality field. Nearby towns and subareas are not silently merged.</x:v>
      </x:c>
      <x:c r="C5" s="26"/>
      <x:c r="D5" s="26" t="str">
        <x:v>Areas researched</x:v>
      </x:c>
      <x:c r="E5" s="26" t="n">
        <x:v>5</x:v>
      </x:c>
      <x:c r="F5" s="26"/>
      <x:c r="G5" s="26" t="str">
        <x:v>Batroun</x:v>
      </x:c>
      <x:c r="H5" s="26" t="n">
        <x:f>COUNTIF('Restaurants'!B2:B290,"Batroun")</x:f>
        <x:v>35</x:v>
      </x:c>
    </x:row>
    <x:row r="6">
      <x:c r="A6" s="26" t="str">
        <x:v>Akkar rule</x:v>
      </x:c>
      <x:c r="B6" s="26" t="str">
        <x:v>Akkar is researched regionally and split by real towns such as Halba, Qoubaiyat, Miniara, Aandqet, Bebnine and Aabdeh.</x:v>
      </x:c>
      <x:c r="C6" s="26"/>
      <x:c r="D6" s="26" t="str">
        <x:v>Restaurant records</x:v>
      </x:c>
      <x:c r="E6" s="26" t="n">
        <x:f>COUNTA('Restaurants'!D2:D290)</x:f>
        <x:v>289</x:v>
      </x:c>
      <x:c r="F6" s="26"/>
      <x:c r="G6" s="26" t="str">
        <x:v>Tripoli</x:v>
      </x:c>
      <x:c r="H6" s="26" t="n">
        <x:f>COUNTIF('Restaurants'!B2:B290,"Tripoli")</x:f>
        <x:v>91</x:v>
      </x:c>
    </x:row>
    <x:row r="7">
      <x:c r="A7" s="26" t="str">
        <x:v>Exclusions</x:v>
      </x:c>
      <x:c r="B7" s="26" t="str">
        <x:v>Pure cafés, bars, bakeries and dessert shops are excluded unless public sources explicitly classify them as restaurants.</x:v>
      </x:c>
      <x:c r="C7" s="26"/>
      <x:c r="D7" s="26" t="str">
        <x:v>High-confidence records</x:v>
      </x:c>
      <x:c r="E7" s="26" t="n">
        <x:f>COUNTIF('Restaurants'!K2:K290,"High")</x:f>
        <x:v>249</x:v>
      </x:c>
      <x:c r="F7" s="26"/>
      <x:c r="G7" s="26" t="str">
        <x:v>Ehden</x:v>
      </x:c>
      <x:c r="H7" s="26" t="n">
        <x:f>COUNTIF('Restaurants'!B2:B290,"Ehden")</x:f>
        <x:v>19</x:v>
      </x:c>
    </x:row>
    <x:row r="8">
      <x:c r="A8" s="26" t="str">
        <x:v>Status</x:v>
      </x:c>
      <x:c r="B8" s="26" t="str">
        <x:v>'Listed current' means a current 2026 public/town listing; 'Needs verification' marks a material locality/status uncertainty.</x:v>
      </x:c>
      <x:c r="C8" s="26"/>
      <x:c r="D8" s="26" t="str">
        <x:v>Medium/low-confidence records</x:v>
      </x:c>
      <x:c r="E8" s="26" t="n">
        <x:f>COUNTIF('Restaurants'!K2:K290,"Medium")+COUNTIF('Restaurants'!K2:K290,"Low")</x:f>
        <x:v>40</x:v>
      </x:c>
      <x:c r="F8" s="26"/>
      <x:c r="G8" s="26" t="str">
        <x:v>Bsharri</x:v>
      </x:c>
      <x:c r="H8" s="26" t="n">
        <x:f>COUNTIF('Restaurants'!B2:B290,"Bsharri")</x:f>
        <x:v>47</x:v>
      </x:c>
    </x:row>
    <x:row r="9">
      <x:c r="A9" s="26" t="str">
        <x:v>Completeness</x:v>
      </x:c>
      <x:c r="B9" s="26" t="str">
        <x:v>This is a deep public-web master list, not proof that every small unindexed neighborhood restaurant has an online record.</x:v>
      </x:c>
      <x:c r="C9" s="26"/>
      <x:c r="D9" s="26" t="str">
        <x:v>Exact localities represented</x:v>
      </x:c>
      <x:c r="E9" s="26" t="n">
        <x:v>18</x:v>
      </x:c>
      <x:c r="F9" s="26"/>
      <x:c r="G9" s="26" t="str">
        <x:v>Akkar</x:v>
      </x:c>
      <x:c r="H9" s="26" t="n">
        <x:f>COUNTIF('Restaurants'!B2:B290,"Akkar")</x:f>
        <x:v>97</x:v>
      </x:c>
    </x:row>
    <x:row r="10">
      <x:c r="A10" s="26" t="str">
        <x:v>Use</x:v>
      </x:c>
      <x:c r="B10" s="26" t="str">
        <x:v>Suitable as a master lead database for outreach, mapping, tourism research and later field/social verification.</x:v>
      </x:c>
      <x:c r="C10" s="26"/>
      <x:c r="D10" s="26" t="str">
        <x:v>Needs-verification records</x:v>
      </x:c>
      <x:c r="E10" s="26" t="n">
        <x:f>COUNTIF('Restaurants'!F2:F290,"Needs verification")</x:f>
        <x:v>1</x:v>
      </x:c>
      <x:c r="F10" s="26"/>
      <x:c r="G10" s="26"/>
      <x:c r="H10" s="26"/>
    </x:row>
    <x:row r="11">
      <x:c r="A11" s="26"/>
      <x:c r="B11" s="26"/>
      <x:c r="C11" s="26"/>
      <x:c r="D11" s="26"/>
      <x:c r="E11" s="26"/>
      <x:c r="F11" s="26"/>
      <x:c r="G11" s="26"/>
      <x:c r="H11" s="26"/>
    </x:row>
    <x:row r="12">
      <x:c r="A12" s="26"/>
      <x:c r="B12" s="26"/>
      <x:c r="C12" s="26"/>
      <x:c r="D12" s="26"/>
      <x:c r="E12" s="26"/>
      <x:c r="F12" s="26"/>
      <x:c r="G12" s="26"/>
      <x:c r="H12" s="26"/>
    </x:row>
    <x:row r="13">
      <x:c r="A13" s="20" t="str">
        <x:v>Confidence</x:v>
      </x:c>
      <x:c r="B13" s="20" t="str">
        <x:v>Meaning</x:v>
      </x:c>
      <x:c r="C13" s="26"/>
      <x:c r="D13" s="26"/>
      <x:c r="E13" s="26"/>
      <x:c r="F13" s="26"/>
      <x:c r="G13" s="26"/>
      <x:c r="H13" s="26"/>
    </x:row>
    <x:row r="14">
      <x:c r="A14" s="26" t="str">
        <x:v>High</x:v>
      </x:c>
      <x:c r="B14" s="26" t="str">
        <x:v>Exact town/city current listing, municipality/local verified directory, operator page, or strong current corroboration.</x:v>
      </x:c>
      <x:c r="C14" s="26"/>
      <x:c r="D14" s="26"/>
      <x:c r="E14" s="26"/>
      <x:c r="F14" s="26"/>
      <x:c r="G14" s="26"/>
      <x:c r="H14" s="26"/>
    </x:row>
    <x:row r="15">
      <x:c r="A15" s="26" t="str">
        <x:v>Medium</x:v>
      </x:c>
      <x:c r="B15" s="26" t="str">
        <x:v>Current area listing or TripAdvisor result with less granular locality detail.</x:v>
      </x:c>
      <x:c r="C15" s="26"/>
      <x:c r="D15" s="26"/>
      <x:c r="E15" s="26"/>
      <x:c r="F15" s="26"/>
      <x:c r="G15" s="26"/>
      <x:c r="H15" s="26"/>
    </x:row>
    <x:row r="16">
      <x:c r="A16" s="26" t="str">
        <x:v>Low</x:v>
      </x:c>
      <x:c r="B16" s="26" t="str">
        <x:v>Useful lead whose exact locality/current operation still needs another check.</x:v>
      </x:c>
      <x:c r="C16" s="26"/>
      <x:c r="D16" s="26"/>
      <x:c r="E16" s="26"/>
      <x:c r="F16" s="26"/>
      <x:c r="G16" s="26"/>
      <x:c r="H16" s="26"/>
    </x:row>
    <x:row r="17">
      <x:c r="A17" s="26" t="str">
        <x:v>Listed current</x:v>
      </x:c>
      <x:c r="B17" s="26" t="str">
        <x:v>Current directory/source indicates operating or listed open.</x:v>
      </x:c>
      <x:c r="C17" s="26"/>
      <x:c r="D17" s="26"/>
      <x:c r="E17" s="26"/>
      <x:c r="F17" s="26"/>
      <x:c r="G17" s="26"/>
      <x:c r="H17" s="26"/>
    </x:row>
    <x:row r="18">
      <x:c r="A18" s="26" t="str">
        <x:v>Needs verification</x:v>
      </x:c>
      <x:c r="B18" s="26" t="str">
        <x:v>Do not use as confirmed until locality/status is checked.</x:v>
      </x:c>
      <x:c r="C18" s="26"/>
      <x:c r="D18" s="26"/>
      <x:c r="E18" s="26"/>
      <x:c r="F18" s="26"/>
      <x:c r="G18" s="26"/>
      <x:c r="H18" s="26"/>
    </x:row>
    <x:row r="19">
      <x:c r="A19" s="26" t="str">
        <x:v>Exact Locality</x:v>
      </x:c>
      <x:c r="B19" s="26" t="str">
        <x:v>The key field for avoiding city-versus-region mistakes.</x:v>
      </x:c>
      <x:c r="C19" s="26"/>
      <x:c r="D19" s="26"/>
      <x:c r="E19" s="26"/>
      <x:c r="F19" s="26"/>
      <x:c r="G19" s="26"/>
      <x:c r="H19" s="2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f878c5f847d7458d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6" hidden="0" customWidth="1"/>
    <x:col min="3" max="3" width="16" hidden="0" customWidth="1"/>
    <x:col min="4" max="4" width="17" hidden="0" customWidth="1"/>
    <x:col min="5" max="5" width="22" hidden="0" customWidth="1"/>
    <x:col min="6" max="6" width="18" hidden="0" customWidth="1"/>
    <x:col min="7" max="7" width="18" hidden="0" customWidth="1"/>
    <x:col min="8" max="8" width="64" hidden="0" customWidth="1"/>
  </x:cols>
  <x:sheetData>
    <x:row r="1" ht="38" customHeight="1">
      <x:c r="A1" s="20" t="str">
        <x:v>Area</x:v>
      </x:c>
      <x:c r="B1" s="20" t="str">
        <x:v>Geographic Scope</x:v>
      </x:c>
      <x:c r="C1" s="20" t="str">
        <x:v>Restaurant Records</x:v>
      </x:c>
      <x:c r="D1" s="20" t="str">
        <x:v>High Confidence</x:v>
      </x:c>
      <x:c r="E1" s="20" t="str">
        <x:v>Medium/Low Confidence</x:v>
      </x:c>
      <x:c r="F1" s="20" t="str">
        <x:v>Needs Verification</x:v>
      </x:c>
      <x:c r="G1" s="20" t="str">
        <x:v>Localities Represented</x:v>
      </x:c>
      <x:c r="H1" s="20" t="str">
        <x:v>Notes</x:v>
      </x:c>
    </x:row>
    <x:row r="2">
      <x:c r="A2" s="26" t="str">
        <x:v>Batroun</x:v>
      </x:c>
      <x:c r="B2" s="26" t="str">
        <x:v>Batroun city + clearly labeled wider Batroun destination/district venues</x:v>
      </x:c>
      <x:c r="C2" s="26" t="n">
        <x:f>COUNTIF('Restaurants'!$B$2:$B$290,A2)</x:f>
        <x:v>35</x:v>
      </x:c>
      <x:c r="D2" s="26" t="n">
        <x:f>COUNTIFS('Restaurants'!$B$2:$B$290,A2,'Restaurants'!$K$2:$K$290,"High")</x:f>
        <x:v>20</x:v>
      </x:c>
      <x:c r="E2" s="26" t="n">
        <x:f>COUNTIFS('Restaurants'!$B$2:$B$290,A2,'Restaurants'!$K$2:$K$290,"Medium")+COUNTIFS('Restaurants'!$B$2:$B$290,A2,'Restaurants'!$K$2:$K$290,"Low")</x:f>
        <x:v>15</x:v>
      </x:c>
      <x:c r="F2" s="26" t="n">
        <x:f>COUNTIFS('Restaurants'!$B$2:$B$290,A2,'Restaurants'!$F$2:$F$290,"Needs verification")</x:f>
        <x:v>0</x:v>
      </x:c>
      <x:c r="G2" s="26" t="n">
        <x:v>5</x:v>
      </x:c>
      <x:c r="H2" s="26" t="str">
        <x:v>Exact Locality prevents Arnaoon/wider-district venues from being mislabeled Batroun city.</x:v>
      </x:c>
    </x:row>
    <x:row r="3">
      <x:c r="A3" s="26" t="str">
        <x:v>Tripoli</x:v>
      </x:c>
      <x:c r="B3" s="26" t="str">
        <x:v>Tripoli city + El Mina + Bahsas</x:v>
      </x:c>
      <x:c r="C3" s="26" t="n">
        <x:f>COUNTIF('Restaurants'!$B$2:$B$290,A3)</x:f>
        <x:v>91</x:v>
      </x:c>
      <x:c r="D3" s="26" t="n">
        <x:f>COUNTIFS('Restaurants'!$B$2:$B$290,A3,'Restaurants'!$K$2:$K$290,"High")</x:f>
        <x:v>76</x:v>
      </x:c>
      <x:c r="E3" s="26" t="n">
        <x:f>COUNTIFS('Restaurants'!$B$2:$B$290,A3,'Restaurants'!$K$2:$K$290,"Medium")+COUNTIFS('Restaurants'!$B$2:$B$290,A3,'Restaurants'!$K$2:$K$290,"Low")</x:f>
        <x:v>15</x:v>
      </x:c>
      <x:c r="F3" s="26" t="n">
        <x:f>COUNTIFS('Restaurants'!$B$2:$B$290,A3,'Restaurants'!$F$2:$F$290,"Needs verification")</x:f>
        <x:v>0</x:v>
      </x:c>
      <x:c r="G3" s="26" t="n">
        <x:v>3</x:v>
      </x:c>
      <x:c r="H3" s="26" t="str">
        <x:v>Tripoli city, El Mina and Bahsas are separated.</x:v>
      </x:c>
    </x:row>
    <x:row r="4">
      <x:c r="A4" s="26" t="str">
        <x:v>Ehden</x:v>
      </x:c>
      <x:c r="B4" s="26" t="str">
        <x:v>Ehden destination</x:v>
      </x:c>
      <x:c r="C4" s="26" t="n">
        <x:f>COUNTIF('Restaurants'!$B$2:$B$290,A4)</x:f>
        <x:v>19</x:v>
      </x:c>
      <x:c r="D4" s="26" t="n">
        <x:f>COUNTIFS('Restaurants'!$B$2:$B$290,A4,'Restaurants'!$K$2:$K$290,"High")</x:f>
        <x:v>13</x:v>
      </x:c>
      <x:c r="E4" s="26" t="n">
        <x:f>COUNTIFS('Restaurants'!$B$2:$B$290,A4,'Restaurants'!$K$2:$K$290,"Medium")+COUNTIFS('Restaurants'!$B$2:$B$290,A4,'Restaurants'!$K$2:$K$290,"Low")</x:f>
        <x:v>6</x:v>
      </x:c>
      <x:c r="F4" s="26" t="n">
        <x:f>COUNTIFS('Restaurants'!$B$2:$B$290,A4,'Restaurants'!$F$2:$F$290,"Needs verification")</x:f>
        <x:v>0</x:v>
      </x:c>
      <x:c r="G4" s="26" t="n">
        <x:v>1</x:v>
      </x:c>
      <x:c r="H4" s="26" t="str">
        <x:v>Restaurant listings cross-checked against current Ehden directories and 2026 sources.</x:v>
      </x:c>
    </x:row>
    <x:row r="5">
      <x:c r="A5" s="26" t="str">
        <x:v>Bsharri</x:v>
      </x:c>
      <x:c r="B5" s="26" t="str">
        <x:v>Bsharri + Cedars/Qadisha restaurant zone</x:v>
      </x:c>
      <x:c r="C5" s="26" t="n">
        <x:f>COUNTIF('Restaurants'!$B$2:$B$290,A5)</x:f>
        <x:v>47</x:v>
      </x:c>
      <x:c r="D5" s="26" t="n">
        <x:f>COUNTIFS('Restaurants'!$B$2:$B$290,A5,'Restaurants'!$K$2:$K$290,"High")</x:f>
        <x:v>44</x:v>
      </x:c>
      <x:c r="E5" s="26" t="n">
        <x:f>COUNTIFS('Restaurants'!$B$2:$B$290,A5,'Restaurants'!$K$2:$K$290,"Medium")+COUNTIFS('Restaurants'!$B$2:$B$290,A5,'Restaurants'!$K$2:$K$290,"Low")</x:f>
        <x:v>3</x:v>
      </x:c>
      <x:c r="F5" s="26" t="n">
        <x:f>COUNTIFS('Restaurants'!$B$2:$B$290,A5,'Restaurants'!$F$2:$F$290,"Needs verification")</x:f>
        <x:v>0</x:v>
      </x:c>
      <x:c r="G5" s="26" t="n">
        <x:v>2</x:v>
      </x:c>
      <x:c r="H5" s="26" t="str">
        <x:v>Municipality directory is used as a primary local source.</x:v>
      </x:c>
    </x:row>
    <x:row r="6">
      <x:c r="A6" s="26" t="str">
        <x:v>Akkar</x:v>
      </x:c>
      <x:c r="B6" s="26" t="str">
        <x:v>Regional governorate scope across Halba, Qoubaiyat, Miniara, Aandqet, Bebnine, Aabdeh and other leads</x:v>
      </x:c>
      <x:c r="C6" s="26" t="n">
        <x:f>COUNTIF('Restaurants'!$B$2:$B$290,A6)</x:f>
        <x:v>97</x:v>
      </x:c>
      <x:c r="D6" s="26" t="n">
        <x:f>COUNTIFS('Restaurants'!$B$2:$B$290,A6,'Restaurants'!$K$2:$K$290,"High")</x:f>
        <x:v>96</x:v>
      </x:c>
      <x:c r="E6" s="26" t="n">
        <x:f>COUNTIFS('Restaurants'!$B$2:$B$290,A6,'Restaurants'!$K$2:$K$290,"Medium")+COUNTIFS('Restaurants'!$B$2:$B$290,A6,'Restaurants'!$K$2:$K$290,"Low")</x:f>
        <x:v>1</x:v>
      </x:c>
      <x:c r="F6" s="26" t="n">
        <x:f>COUNTIFS('Restaurants'!$B$2:$B$290,A6,'Restaurants'!$F$2:$F$290,"Needs verification")</x:f>
        <x:v>1</x:v>
      </x:c>
      <x:c r="G6" s="26" t="n">
        <x:v>7</x:v>
      </x:c>
      <x:c r="H6" s="26" t="str">
        <x:v>Akkar is not treated as one city; every row keeps its actual town/village.</x:v>
      </x:c>
    </x:row>
  </x:sheetData>
  <x:pageMargins left="0.7" right="0.7" top="0.75" bottom="0.75" header="0.3" footer="0.3"/>
  <x:tableParts count="1">
    <x:tablePart xmlns:r="http://schemas.openxmlformats.org/officeDocument/2006/relationships" r:id="R50b3bf3b906f412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3" hidden="0" customWidth="1"/>
    <x:col min="3" max="3" width="26" hidden="0" customWidth="1"/>
    <x:col min="4" max="4" width="34" hidden="0" customWidth="1"/>
    <x:col min="5" max="5" width="27" hidden="0" customWidth="1"/>
    <x:col min="6" max="6" width="20" hidden="0" customWidth="1"/>
    <x:col min="7" max="7" width="19" hidden="0" customWidth="1"/>
    <x:col min="8" max="8" width="10" hidden="0" customWidth="1"/>
    <x:col min="9" max="9" width="10" hidden="0" customWidth="1"/>
    <x:col min="10" max="10" width="30" hidden="0" customWidth="1"/>
    <x:col min="11" max="11" width="12" hidden="0" customWidth="1"/>
    <x:col min="12" max="12" width="38" hidden="0" customWidth="1"/>
    <x:col min="13" max="13" width="52" hidden="0" customWidth="1"/>
    <x:col min="14" max="14" width="52" hidden="0" customWidth="1"/>
    <x:col min="15" max="15" width="62" hidden="0" customWidth="1"/>
    <x:col min="16" max="16" width="14" hidden="0" customWidth="1"/>
  </x:cols>
  <x:sheetData>
    <x:row r="1" ht="38" customHeight="1">
      <x:c r="A1" s="20" t="str">
        <x:v>ID</x:v>
      </x:c>
      <x:c r="B1" s="20" t="str">
        <x:v>Area</x:v>
      </x:c>
      <x:c r="C1" s="20" t="str">
        <x:v>Exact Locality</x:v>
      </x:c>
      <x:c r="D1" s="20" t="str">
        <x:v>Restaurant Name</x:v>
      </x:c>
      <x:c r="E1" s="20" t="str">
        <x:v>Type / Cuisine</x:v>
      </x:c>
      <x:c r="F1" s="20" t="str">
        <x:v>Status</x:v>
      </x:c>
      <x:c r="G1" s="20" t="str">
        <x:v>Phone</x:v>
      </x:c>
      <x:c r="H1" s="20" t="str">
        <x:v>Rating</x:v>
      </x:c>
      <x:c r="I1" s="20" t="str">
        <x:v>Reviews</x:v>
      </x:c>
      <x:c r="J1" s="20" t="str">
        <x:v>Hours</x:v>
      </x:c>
      <x:c r="K1" s="20" t="str">
        <x:v>Confidence</x:v>
      </x:c>
      <x:c r="L1" s="20" t="str">
        <x:v>Evidence</x:v>
      </x:c>
      <x:c r="M1" s="20" t="str">
        <x:v>Source URL</x:v>
      </x:c>
      <x:c r="N1" s="20" t="str">
        <x:v>Map / Search Link</x:v>
      </x:c>
      <x:c r="O1" s="20" t="str">
        <x:v>Notes</x:v>
      </x:c>
      <x:c r="P1" s="20" t="str">
        <x:v>Last Checked</x:v>
      </x:c>
    </x:row>
    <x:row r="2">
      <x:c r="A2" s="26" t="n">
        <x:v>1</x:v>
      </x:c>
      <x:c r="B2" s="26" t="str">
        <x:v>Batroun</x:v>
      </x:c>
      <x:c r="C2" s="26" t="str">
        <x:v>Batroun city</x:v>
      </x:c>
      <x:c r="D2" s="26" t="str">
        <x:v>Batrouniyat</x:v>
      </x:c>
      <x:c r="E2" s="26" t="str">
        <x:v>Restaurant</x:v>
      </x:c>
      <x:c r="F2" s="26" t="str">
        <x:v>Listed current</x:v>
      </x:c>
      <x:c r="G2" s="26" t="str">
        <x:v>+961 6 744 510</x:v>
      </x:c>
      <x:c r="H2" s="28"/>
      <x:c r="I2" s="30"/>
      <x:c r="J2" s="26" t="str">
        <x:v>Sun/Tue-Sat 10:00-02:00</x:v>
      </x:c>
      <x:c r="K2" s="26" t="str">
        <x:v>High</x:v>
      </x:c>
      <x:c r="L2" s="26" t="str">
        <x:v>Current exact-town listing</x:v>
      </x:c>
      <x:c r="M2" s="26" t="str">
        <x:v>https://wenrayhin.com/en/places/batrouniyat</x:v>
      </x:c>
      <x:c r="N2" s="26" t="str">
        <x:v>https://www.google.com/maps/search/?api=1&amp;query=Batrouniyat%2C+Batroun+city%2C+Lebanon</x:v>
      </x:c>
      <x:c r="O2" s="26" t="str"/>
      <x:c r="P2" s="26" t="str">
        <x:v>2026-09-08</x:v>
      </x:c>
    </x:row>
    <x:row r="3">
      <x:c r="A3" s="26" t="n">
        <x:v>2</x:v>
      </x:c>
      <x:c r="B3" s="26" t="str">
        <x:v>Batroun</x:v>
      </x:c>
      <x:c r="C3" s="26" t="str">
        <x:v>Batroun city</x:v>
      </x:c>
      <x:c r="D3" s="26" t="str">
        <x:v>Jammal Restaurant</x:v>
      </x:c>
      <x:c r="E3" s="26" t="str">
        <x:v>Seafood restaurant</x:v>
      </x:c>
      <x:c r="F3" s="26" t="str">
        <x:v>Listed current</x:v>
      </x:c>
      <x:c r="G3" s="26" t="str">
        <x:v>+961 6 740 095</x:v>
      </x:c>
      <x:c r="H3" s="28" t="n">
        <x:v>4.2</x:v>
      </x:c>
      <x:c r="I3" s="30" t="n">
        <x:v>21</x:v>
      </x:c>
      <x:c r="J3" s="26" t="str">
        <x:v>09:00-22:30 some days; shorter weekdays</x:v>
      </x:c>
      <x:c r="K3" s="26" t="str">
        <x:v>High</x:v>
      </x:c>
      <x:c r="L3" s="26" t="str">
        <x:v>Current exact-town listing</x:v>
      </x:c>
      <x:c r="M3" s="26" t="str">
        <x:v>https://wenrayhin.com/en/places/jammal-restaurant-batroun</x:v>
      </x:c>
      <x:c r="N3" s="26" t="str">
        <x:v>https://www.google.com/maps/search/?api=1&amp;query=Jammal+Restaurant%2C+Batroun+city%2C+Lebanon</x:v>
      </x:c>
      <x:c r="O3" s="26" t="str"/>
      <x:c r="P3" s="26" t="str">
        <x:v>2026-09-08</x:v>
      </x:c>
    </x:row>
    <x:row r="4">
      <x:c r="A4" s="26" t="n">
        <x:v>3</x:v>
      </x:c>
      <x:c r="B4" s="26" t="str">
        <x:v>Batroun</x:v>
      </x:c>
      <x:c r="C4" s="26" t="str">
        <x:v>Batroun city</x:v>
      </x:c>
      <x:c r="D4" s="26" t="str">
        <x:v>Bolero</x:v>
      </x:c>
      <x:c r="E4" s="26" t="str">
        <x:v>Restaurant</x:v>
      </x:c>
      <x:c r="F4" s="26" t="str">
        <x:v>Listed current</x:v>
      </x:c>
      <x:c r="G4" s="26" t="str"/>
      <x:c r="H4" s="28"/>
      <x:c r="I4" s="30"/>
      <x:c r="J4" s="26" t="str"/>
      <x:c r="K4" s="26" t="str">
        <x:v>High</x:v>
      </x:c>
      <x:c r="L4" s="26" t="str">
        <x:v>Current exact-town listing</x:v>
      </x:c>
      <x:c r="M4" s="26" t="str">
        <x:v>https://wenrayhin.com/en/towns/batroun</x:v>
      </x:c>
      <x:c r="N4" s="26" t="str">
        <x:v>https://www.google.com/maps/search/?api=1&amp;query=Bolero%2C+Batroun+city%2C+Lebanon</x:v>
      </x:c>
      <x:c r="O4" s="26" t="str"/>
      <x:c r="P4" s="26" t="str">
        <x:v>2026-09-08</x:v>
      </x:c>
    </x:row>
    <x:row r="5">
      <x:c r="A5" s="26" t="n">
        <x:v>4</x:v>
      </x:c>
      <x:c r="B5" s="26" t="str">
        <x:v>Batroun</x:v>
      </x:c>
      <x:c r="C5" s="26" t="str">
        <x:v>Batroun city</x:v>
      </x:c>
      <x:c r="D5" s="26" t="str">
        <x:v>BUCO Batroun</x:v>
      </x:c>
      <x:c r="E5" s="26" t="str">
        <x:v>Restaurant</x:v>
      </x:c>
      <x:c r="F5" s="26" t="str">
        <x:v>Listed current</x:v>
      </x:c>
      <x:c r="G5" s="26" t="str">
        <x:v>+961 3 843 474</x:v>
      </x:c>
      <x:c r="H5" s="28"/>
      <x:c r="I5" s="30"/>
      <x:c r="J5" s="26" t="str">
        <x:v>10:00-00:00 daily</x:v>
      </x:c>
      <x:c r="K5" s="26" t="str">
        <x:v>High</x:v>
      </x:c>
      <x:c r="L5" s="26" t="str">
        <x:v>Current exact-town listing</x:v>
      </x:c>
      <x:c r="M5" s="26" t="str">
        <x:v>https://wenrayhin.com/en/places/buco-batroun-batroun</x:v>
      </x:c>
      <x:c r="N5" s="26" t="str">
        <x:v>https://www.google.com/maps/search/?api=1&amp;query=BUCO+Batroun%2C+Batroun+city%2C+Lebanon</x:v>
      </x:c>
      <x:c r="O5" s="26" t="str"/>
      <x:c r="P5" s="26" t="str">
        <x:v>2026-09-08</x:v>
      </x:c>
    </x:row>
    <x:row r="6">
      <x:c r="A6" s="26" t="n">
        <x:v>5</x:v>
      </x:c>
      <x:c r="B6" s="26" t="str">
        <x:v>Batroun</x:v>
      </x:c>
      <x:c r="C6" s="26" t="str">
        <x:v>Batroun city</x:v>
      </x:c>
      <x:c r="D6" s="26" t="str">
        <x:v>Farouj Al Abdalla Batroun I</x:v>
      </x:c>
      <x:c r="E6" s="26" t="str">
        <x:v>Traditional Lebanese / chicken</x:v>
      </x:c>
      <x:c r="F6" s="26" t="str">
        <x:v>Listed current</x:v>
      </x:c>
      <x:c r="G6" s="26" t="str">
        <x:v>+961 1 392 013</x:v>
      </x:c>
      <x:c r="H6" s="28"/>
      <x:c r="I6" s="30"/>
      <x:c r="J6" s="26" t="str">
        <x:v>11:00-00:00 daily</x:v>
      </x:c>
      <x:c r="K6" s="26" t="str">
        <x:v>High</x:v>
      </x:c>
      <x:c r="L6" s="26" t="str">
        <x:v>Current exact-town listing</x:v>
      </x:c>
      <x:c r="M6" s="26" t="str">
        <x:v>https://wenrayhin.com/en/places/farouj-al-abdalla-batroun-i-batroun</x:v>
      </x:c>
      <x:c r="N6" s="26" t="str">
        <x:v>https://www.google.com/maps/search/?api=1&amp;query=Farouj+Al+Abdalla+Batroun+I%2C+Batroun+city%2C+Lebanon</x:v>
      </x:c>
      <x:c r="O6" s="26" t="str"/>
      <x:c r="P6" s="26" t="str">
        <x:v>2026-09-08</x:v>
      </x:c>
    </x:row>
    <x:row r="7">
      <x:c r="A7" s="26" t="n">
        <x:v>6</x:v>
      </x:c>
      <x:c r="B7" s="26" t="str">
        <x:v>Batroun</x:v>
      </x:c>
      <x:c r="C7" s="26" t="str">
        <x:v>Batroun city</x:v>
      </x:c>
      <x:c r="D7" s="26" t="str">
        <x:v>Lakkis Farm - Batroun</x:v>
      </x:c>
      <x:c r="E7" s="26" t="str">
        <x:v>Restaurant</x:v>
      </x:c>
      <x:c r="F7" s="26" t="str">
        <x:v>Listed current</x:v>
      </x:c>
      <x:c r="G7" s="26" t="str"/>
      <x:c r="H7" s="28"/>
      <x:c r="I7" s="30"/>
      <x:c r="J7" s="26" t="str"/>
      <x:c r="K7" s="26" t="str">
        <x:v>High</x:v>
      </x:c>
      <x:c r="L7" s="26" t="str">
        <x:v>Current exact-town listing</x:v>
      </x:c>
      <x:c r="M7" s="26" t="str">
        <x:v>https://wenrayhin.com/en/towns/batroun</x:v>
      </x:c>
      <x:c r="N7" s="26" t="str">
        <x:v>https://www.google.com/maps/search/?api=1&amp;query=Lakkis+Farm+-+Batroun%2C+Batroun+city%2C+Lebanon</x:v>
      </x:c>
      <x:c r="O7" s="26" t="str"/>
      <x:c r="P7" s="26" t="str">
        <x:v>2026-09-08</x:v>
      </x:c>
    </x:row>
    <x:row r="8">
      <x:c r="A8" s="26" t="n">
        <x:v>7</x:v>
      </x:c>
      <x:c r="B8" s="26" t="str">
        <x:v>Batroun</x:v>
      </x:c>
      <x:c r="C8" s="26" t="str">
        <x:v>Batroun city</x:v>
      </x:c>
      <x:c r="D8" s="26" t="str">
        <x:v>Merchak</x:v>
      </x:c>
      <x:c r="E8" s="26" t="str">
        <x:v>Restaurant</x:v>
      </x:c>
      <x:c r="F8" s="26" t="str">
        <x:v>Listed current</x:v>
      </x:c>
      <x:c r="G8" s="26" t="str"/>
      <x:c r="H8" s="28"/>
      <x:c r="I8" s="30"/>
      <x:c r="J8" s="26" t="str"/>
      <x:c r="K8" s="26" t="str">
        <x:v>High</x:v>
      </x:c>
      <x:c r="L8" s="26" t="str">
        <x:v>Current exact-town listing</x:v>
      </x:c>
      <x:c r="M8" s="26" t="str">
        <x:v>https://wenrayhin.com/en/towns/batroun</x:v>
      </x:c>
      <x:c r="N8" s="26" t="str">
        <x:v>https://www.google.com/maps/search/?api=1&amp;query=Merchak%2C+Batroun+city%2C+Lebanon</x:v>
      </x:c>
      <x:c r="O8" s="26" t="str"/>
      <x:c r="P8" s="26" t="str">
        <x:v>2026-09-08</x:v>
      </x:c>
    </x:row>
    <x:row r="9">
      <x:c r="A9" s="26" t="n">
        <x:v>8</x:v>
      </x:c>
      <x:c r="B9" s="26" t="str">
        <x:v>Batroun</x:v>
      </x:c>
      <x:c r="C9" s="26" t="str">
        <x:v>Batroun city</x:v>
      </x:c>
      <x:c r="D9" s="26" t="str">
        <x:v>Ray's</x:v>
      </x:c>
      <x:c r="E9" s="26" t="str">
        <x:v>Lebanese / regional restaurant</x:v>
      </x:c>
      <x:c r="F9" s="26" t="str">
        <x:v>Listed current</x:v>
      </x:c>
      <x:c r="G9" s="26" t="str"/>
      <x:c r="H9" s="28"/>
      <x:c r="I9" s="30"/>
      <x:c r="J9" s="26" t="str">
        <x:v>08:00-00:00 daily</x:v>
      </x:c>
      <x:c r="K9" s="26" t="str">
        <x:v>High</x:v>
      </x:c>
      <x:c r="L9" s="26" t="str">
        <x:v>Current exact-town listing</x:v>
      </x:c>
      <x:c r="M9" s="26" t="str">
        <x:v>https://wenrayhin.com/en/places/rays</x:v>
      </x:c>
      <x:c r="N9" s="26" t="str">
        <x:v>https://www.google.com/maps/search/?api=1&amp;query=Ray%27s%2C+Batroun+city%2C+Lebanon</x:v>
      </x:c>
      <x:c r="O9" s="26" t="str"/>
      <x:c r="P9" s="26" t="str">
        <x:v>2026-09-08</x:v>
      </x:c>
    </x:row>
    <x:row r="10">
      <x:c r="A10" s="26" t="n">
        <x:v>9</x:v>
      </x:c>
      <x:c r="B10" s="26" t="str">
        <x:v>Batroun</x:v>
      </x:c>
      <x:c r="C10" s="26" t="str">
        <x:v>Batroun city</x:v>
      </x:c>
      <x:c r="D10" s="26" t="str">
        <x:v>Roadster Diner</x:v>
      </x:c>
      <x:c r="E10" s="26" t="str">
        <x:v>American / diner</x:v>
      </x:c>
      <x:c r="F10" s="26" t="str">
        <x:v>Listed current</x:v>
      </x:c>
      <x:c r="G10" s="26" t="str">
        <x:v>+961 6 740 983</x:v>
      </x:c>
      <x:c r="H10" s="28"/>
      <x:c r="I10" s="30"/>
      <x:c r="J10" s="26" t="str">
        <x:v>12:00-23:00; Fri-Sat to 00:00</x:v>
      </x:c>
      <x:c r="K10" s="26" t="str">
        <x:v>High</x:v>
      </x:c>
      <x:c r="L10" s="26" t="str">
        <x:v>Current exact-town listing</x:v>
      </x:c>
      <x:c r="M10" s="26" t="str">
        <x:v>https://wenrayhin.com/en/places/roadster-diner-batroun</x:v>
      </x:c>
      <x:c r="N10" s="26" t="str">
        <x:v>https://www.google.com/maps/search/?api=1&amp;query=Roadster+Diner%2C+Batroun+city%2C+Lebanon</x:v>
      </x:c>
      <x:c r="O10" s="26" t="str"/>
      <x:c r="P10" s="26" t="str">
        <x:v>2026-09-08</x:v>
      </x:c>
    </x:row>
    <x:row r="11">
      <x:c r="A11" s="26" t="n">
        <x:v>10</x:v>
      </x:c>
      <x:c r="B11" s="26" t="str">
        <x:v>Batroun</x:v>
      </x:c>
      <x:c r="C11" s="26" t="str">
        <x:v>Batroun city</x:v>
      </x:c>
      <x:c r="D11" s="26" t="str">
        <x:v>Malak Al Tawouk</x:v>
      </x:c>
      <x:c r="E11" s="26" t="str">
        <x:v>Fast food / chicken</x:v>
      </x:c>
      <x:c r="F11" s="26" t="str">
        <x:v>Listed current</x:v>
      </x:c>
      <x:c r="G11" s="26" t="str"/>
      <x:c r="H11" s="28"/>
      <x:c r="I11" s="30"/>
      <x:c r="J11" s="26" t="str"/>
      <x:c r="K11" s="26" t="str">
        <x:v>High</x:v>
      </x:c>
      <x:c r="L11" s="26" t="str">
        <x:v>Current exact-town listing</x:v>
      </x:c>
      <x:c r="M11" s="26" t="str">
        <x:v>https://wenrayhin.com/en/towns/batroun</x:v>
      </x:c>
      <x:c r="N11" s="26" t="str">
        <x:v>https://www.google.com/maps/search/?api=1&amp;query=Malak+Al+Tawouk%2C+Batroun+city%2C+Lebanon</x:v>
      </x:c>
      <x:c r="O11" s="26" t="str"/>
      <x:c r="P11" s="26" t="str">
        <x:v>2026-09-08</x:v>
      </x:c>
    </x:row>
    <x:row r="12">
      <x:c r="A12" s="26" t="n">
        <x:v>11</x:v>
      </x:c>
      <x:c r="B12" s="26" t="str">
        <x:v>Batroun</x:v>
      </x:c>
      <x:c r="C12" s="26" t="str">
        <x:v>Batroun city</x:v>
      </x:c>
      <x:c r="D12" s="26" t="str">
        <x:v>Salma Batroun</x:v>
      </x:c>
      <x:c r="E12" s="26" t="str">
        <x:v>Traditional Lebanese</x:v>
      </x:c>
      <x:c r="F12" s="26" t="str">
        <x:v>Listed current</x:v>
      </x:c>
      <x:c r="G12" s="26" t="str">
        <x:v>+961 76 333 156</x:v>
      </x:c>
      <x:c r="H12" s="28"/>
      <x:c r="I12" s="30"/>
      <x:c r="J12" s="26" t="str">
        <x:v>09:00-01:00; Fri-Sat to 02:00</x:v>
      </x:c>
      <x:c r="K12" s="26" t="str">
        <x:v>High</x:v>
      </x:c>
      <x:c r="L12" s="26" t="str">
        <x:v>Current exact-town listing</x:v>
      </x:c>
      <x:c r="M12" s="26" t="str">
        <x:v>https://wenrayhin.com/en/places/salma-batroun-batroun</x:v>
      </x:c>
      <x:c r="N12" s="26" t="str">
        <x:v>https://www.google.com/maps/search/?api=1&amp;query=Salma+Batroun%2C+Batroun+city%2C+Lebanon</x:v>
      </x:c>
      <x:c r="O12" s="26" t="str"/>
      <x:c r="P12" s="26" t="str">
        <x:v>2026-09-08</x:v>
      </x:c>
    </x:row>
    <x:row r="13">
      <x:c r="A13" s="26" t="n">
        <x:v>12</x:v>
      </x:c>
      <x:c r="B13" s="26" t="str">
        <x:v>Batroun</x:v>
      </x:c>
      <x:c r="C13" s="26" t="str">
        <x:v>Batroun city</x:v>
      </x:c>
      <x:c r="D13" s="26" t="str">
        <x:v>Teta's Mezza House</x:v>
      </x:c>
      <x:c r="E13" s="26" t="str">
        <x:v>Traditional Lebanese</x:v>
      </x:c>
      <x:c r="F13" s="26" t="str">
        <x:v>Listed current</x:v>
      </x:c>
      <x:c r="G13" s="26" t="str">
        <x:v>+961 81 350 823</x:v>
      </x:c>
      <x:c r="H13" s="28" t="n">
        <x:v>4</x:v>
      </x:c>
      <x:c r="I13" s="30" t="n">
        <x:v>2</x:v>
      </x:c>
      <x:c r="J13" s="26" t="str">
        <x:v>08:00-21:00/23:00; Fri-Sat to 00:00</x:v>
      </x:c>
      <x:c r="K13" s="26" t="str">
        <x:v>High</x:v>
      </x:c>
      <x:c r="L13" s="26" t="str">
        <x:v>Tripadvisor Batroun 2026 listing</x:v>
      </x:c>
      <x:c r="M13" s="26" t="str">
        <x:v>https://wenrayhin.com/en/places/teta-s-mezza-house-batroun</x:v>
      </x:c>
      <x:c r="N13" s="26" t="str">
        <x:v>https://www.google.com/maps/search/?api=1&amp;query=Teta%27s+Mezza+House%2C+Batroun+city%2C+Lebanon</x:v>
      </x:c>
      <x:c r="O13" s="26" t="str"/>
      <x:c r="P13" s="26" t="str">
        <x:v>2026-09-08</x:v>
      </x:c>
    </x:row>
    <x:row r="14">
      <x:c r="A14" s="26" t="n">
        <x:v>13</x:v>
      </x:c>
      <x:c r="B14" s="26" t="str">
        <x:v>Batroun</x:v>
      </x:c>
      <x:c r="C14" s="26" t="str">
        <x:v>Batroun city</x:v>
      </x:c>
      <x:c r="D14" s="26" t="str">
        <x:v>Birdhaus</x:v>
      </x:c>
      <x:c r="E14" s="26" t="str">
        <x:v>Restaurant</x:v>
      </x:c>
      <x:c r="F14" s="26" t="str">
        <x:v>Listed current</x:v>
      </x:c>
      <x:c r="G14" s="26" t="str">
        <x:v>+961 70 701 515</x:v>
      </x:c>
      <x:c r="H14" s="28"/>
      <x:c r="I14" s="30"/>
      <x:c r="J14" s="26" t="str">
        <x:v>09:00-02:00 daily</x:v>
      </x:c>
      <x:c r="K14" s="26" t="str">
        <x:v>High</x:v>
      </x:c>
      <x:c r="L14" s="26" t="str">
        <x:v>Current exact-town listing</x:v>
      </x:c>
      <x:c r="M14" s="26" t="str">
        <x:v>https://wenrayhin.com/en/places/birdhaus-batroun</x:v>
      </x:c>
      <x:c r="N14" s="26" t="str">
        <x:v>https://www.google.com/maps/search/?api=1&amp;query=Birdhaus%2C+Batroun+city%2C+Lebanon</x:v>
      </x:c>
      <x:c r="O14" s="26" t="str"/>
      <x:c r="P14" s="26" t="str">
        <x:v>2026-09-08</x:v>
      </x:c>
    </x:row>
    <x:row r="15">
      <x:c r="A15" s="26" t="n">
        <x:v>14</x:v>
      </x:c>
      <x:c r="B15" s="26" t="str">
        <x:v>Batroun</x:v>
      </x:c>
      <x:c r="C15" s="26" t="str">
        <x:v>Batroun city</x:v>
      </x:c>
      <x:c r="D15" s="26" t="str">
        <x:v>Cloudy Bites</x:v>
      </x:c>
      <x:c r="E15" s="26" t="str">
        <x:v>Fast food / casual restaurant</x:v>
      </x:c>
      <x:c r="F15" s="26" t="str">
        <x:v>Listed current</x:v>
      </x:c>
      <x:c r="G15" s="26" t="str">
        <x:v>+961 81 682 622</x:v>
      </x:c>
      <x:c r="H15" s="28"/>
      <x:c r="I15" s="30"/>
      <x:c r="J15" s="26" t="str">
        <x:v>12:00-04:00 daily</x:v>
      </x:c>
      <x:c r="K15" s="26" t="str">
        <x:v>High</x:v>
      </x:c>
      <x:c r="L15" s="26" t="str">
        <x:v>Current exact-town listing</x:v>
      </x:c>
      <x:c r="M15" s="26" t="str">
        <x:v>https://wenrayhin.com/en/places/cloudy-bites-batroun</x:v>
      </x:c>
      <x:c r="N15" s="26" t="str">
        <x:v>https://www.google.com/maps/search/?api=1&amp;query=Cloudy+Bites%2C+Batroun+city%2C+Lebanon</x:v>
      </x:c>
      <x:c r="O15" s="26" t="str"/>
      <x:c r="P15" s="26" t="str">
        <x:v>2026-09-08</x:v>
      </x:c>
    </x:row>
    <x:row r="16">
      <x:c r="A16" s="26" t="n">
        <x:v>15</x:v>
      </x:c>
      <x:c r="B16" s="26" t="str">
        <x:v>Batroun</x:v>
      </x:c>
      <x:c r="C16" s="26" t="str">
        <x:v>Batroun city</x:v>
      </x:c>
      <x:c r="D16" s="26" t="str">
        <x:v>Sushi Cravings</x:v>
      </x:c>
      <x:c r="E16" s="26" t="str">
        <x:v>Sushi takeaway / street food</x:v>
      </x:c>
      <x:c r="F16" s="26" t="str">
        <x:v>Listed current</x:v>
      </x:c>
      <x:c r="G16" s="26" t="str">
        <x:v>+961 81 203 326</x:v>
      </x:c>
      <x:c r="H16" s="28"/>
      <x:c r="I16" s="30"/>
      <x:c r="J16" s="26" t="str">
        <x:v>15:00-02:00 daily</x:v>
      </x:c>
      <x:c r="K16" s="26" t="str">
        <x:v>High</x:v>
      </x:c>
      <x:c r="L16" s="26" t="str">
        <x:v>Current exact-town listing</x:v>
      </x:c>
      <x:c r="M16" s="26" t="str">
        <x:v>https://wenrayhin.com/en/places/sushi-cravings-batroun</x:v>
      </x:c>
      <x:c r="N16" s="26" t="str">
        <x:v>https://www.google.com/maps/search/?api=1&amp;query=Sushi+Cravings%2C+Batroun+city%2C+Lebanon</x:v>
      </x:c>
      <x:c r="O16" s="26" t="str"/>
      <x:c r="P16" s="26" t="str">
        <x:v>2026-09-08</x:v>
      </x:c>
    </x:row>
    <x:row r="17">
      <x:c r="A17" s="26" t="n">
        <x:v>16</x:v>
      </x:c>
      <x:c r="B17" s="26" t="str">
        <x:v>Batroun</x:v>
      </x:c>
      <x:c r="C17" s="26" t="str">
        <x:v>Batroun city</x:v>
      </x:c>
      <x:c r="D17" s="26" t="str">
        <x:v>Royal's Pizza</x:v>
      </x:c>
      <x:c r="E17" s="26" t="str">
        <x:v>Pizza / American</x:v>
      </x:c>
      <x:c r="F17" s="26" t="str">
        <x:v>Listed current</x:v>
      </x:c>
      <x:c r="G17" s="26" t="str"/>
      <x:c r="H17" s="28"/>
      <x:c r="I17" s="30"/>
      <x:c r="J17" s="26" t="str"/>
      <x:c r="K17" s="26" t="str">
        <x:v>High</x:v>
      </x:c>
      <x:c r="L17" s="26" t="str">
        <x:v>Tripadvisor Batroun 2026 listing</x:v>
      </x:c>
      <x:c r="M17" s="26" t="str">
        <x:v>https://www.royalspizza.com/</x:v>
      </x:c>
      <x:c r="N17" s="26" t="str">
        <x:v>https://www.google.com/maps/search/?api=1&amp;query=Royal%27s+Pizza%2C+Batroun+city%2C+Lebanon</x:v>
      </x:c>
      <x:c r="O17" s="26" t="str"/>
      <x:c r="P17" s="26" t="str">
        <x:v>2026-09-08</x:v>
      </x:c>
    </x:row>
    <x:row r="18">
      <x:c r="A18" s="26" t="n">
        <x:v>17</x:v>
      </x:c>
      <x:c r="B18" s="26" t="str">
        <x:v>Batroun</x:v>
      </x:c>
      <x:c r="C18" s="26" t="str">
        <x:v>Batroun city</x:v>
      </x:c>
      <x:c r="D18" s="26" t="str">
        <x:v>Elie's Yard</x:v>
      </x:c>
      <x:c r="E18" s="26" t="str">
        <x:v>Lebanese</x:v>
      </x:c>
      <x:c r="F18" s="26" t="str">
        <x:v>Listed current</x:v>
      </x:c>
      <x:c r="G18" s="26" t="str">
        <x:v>+961 76 339 954</x:v>
      </x:c>
      <x:c r="H18" s="28" t="n">
        <x:v>5</x:v>
      </x:c>
      <x:c r="I18" s="30" t="n">
        <x:v>3</x:v>
      </x:c>
      <x:c r="J18" s="26" t="str"/>
      <x:c r="K18" s="26" t="str">
        <x:v>High</x:v>
      </x:c>
      <x:c r="L18" s="26" t="str">
        <x:v>Tripadvisor Batroun 2026 listing</x:v>
      </x:c>
      <x:c r="M18" s="26" t="str">
        <x:v>https://www.tripadvisor.com/Restaurant_Review-g1943861-d23753247-Reviews-Elie_s_Yard-Batroun_North_Governorate.html</x:v>
      </x:c>
      <x:c r="N18" s="26" t="str">
        <x:v>https://www.google.com/maps/search/?api=1&amp;query=Elie%27s+Yard%2C+Batroun+city%2C+Lebanon</x:v>
      </x:c>
      <x:c r="O18" s="26" t="str"/>
      <x:c r="P18" s="26" t="str">
        <x:v>2026-09-08</x:v>
      </x:c>
    </x:row>
    <x:row r="19">
      <x:c r="A19" s="26" t="n">
        <x:v>18</x:v>
      </x:c>
      <x:c r="B19" s="26" t="str">
        <x:v>Batroun</x:v>
      </x:c>
      <x:c r="C19" s="26" t="str">
        <x:v>Batroun city</x:v>
      </x:c>
      <x:c r="D19" s="26" t="str">
        <x:v>Ceviche Restaurant Batroun</x:v>
      </x:c>
      <x:c r="E19" s="26" t="str">
        <x:v>Lebanese / seafood</x:v>
      </x:c>
      <x:c r="F19" s="26" t="str">
        <x:v>Listed current</x:v>
      </x:c>
      <x:c r="G19" s="26" t="str"/>
      <x:c r="H19" s="28"/>
      <x:c r="I19" s="30"/>
      <x:c r="J19" s="26" t="str"/>
      <x:c r="K19" s="26" t="str">
        <x:v>Medium</x:v>
      </x:c>
      <x:c r="L19" s="26" t="str">
        <x:v>Tripadvisor Batroun 2026 listing</x:v>
      </x:c>
      <x:c r="M19" s="26" t="str">
        <x:v>https://www.tripadvisor.com/Restaurants-g1943861-Batroun_North_Governorate.html</x:v>
      </x:c>
      <x:c r="N19" s="26" t="str">
        <x:v>https://www.google.com/maps/search/?api=1&amp;query=Ceviche+Restaurant+Batroun%2C+Batroun+city%2C+Lebanon</x:v>
      </x:c>
      <x:c r="O19" s="26" t="str"/>
      <x:c r="P19" s="26" t="str">
        <x:v>2026-09-08</x:v>
      </x:c>
    </x:row>
    <x:row r="20">
      <x:c r="A20" s="26" t="n">
        <x:v>19</x:v>
      </x:c>
      <x:c r="B20" s="26" t="str">
        <x:v>Batroun</x:v>
      </x:c>
      <x:c r="C20" s="26" t="str">
        <x:v>Batroun city</x:v>
      </x:c>
      <x:c r="D20" s="26" t="str">
        <x:v>Bistr'eau</x:v>
      </x:c>
      <x:c r="E20" s="26" t="str">
        <x:v>Lebanese / seafood</x:v>
      </x:c>
      <x:c r="F20" s="26" t="str">
        <x:v>Listed current</x:v>
      </x:c>
      <x:c r="G20" s="26" t="str"/>
      <x:c r="H20" s="28"/>
      <x:c r="I20" s="30"/>
      <x:c r="J20" s="26" t="str"/>
      <x:c r="K20" s="26" t="str">
        <x:v>Medium</x:v>
      </x:c>
      <x:c r="L20" s="26" t="str">
        <x:v>Tripadvisor Batroun 2026 listing</x:v>
      </x:c>
      <x:c r="M20" s="26" t="str">
        <x:v>https://www.tripadvisor.com/Restaurants-g1943861-Batroun_North_Governorate.html</x:v>
      </x:c>
      <x:c r="N20" s="26" t="str">
        <x:v>https://www.google.com/maps/search/?api=1&amp;query=Bistr%27eau%2C+Batroun+city%2C+Lebanon</x:v>
      </x:c>
      <x:c r="O20" s="26" t="str"/>
      <x:c r="P20" s="26" t="str">
        <x:v>2026-09-08</x:v>
      </x:c>
    </x:row>
    <x:row r="21">
      <x:c r="A21" s="26" t="n">
        <x:v>20</x:v>
      </x:c>
      <x:c r="B21" s="26" t="str">
        <x:v>Batroun</x:v>
      </x:c>
      <x:c r="C21" s="26" t="str">
        <x:v>Batroun city</x:v>
      </x:c>
      <x:c r="D21" s="26" t="str">
        <x:v>Botrys Sea Lounge</x:v>
      </x:c>
      <x:c r="E21" s="26" t="str">
        <x:v>Seafood</x:v>
      </x:c>
      <x:c r="F21" s="26" t="str">
        <x:v>Listed current</x:v>
      </x:c>
      <x:c r="G21" s="26" t="str"/>
      <x:c r="H21" s="28"/>
      <x:c r="I21" s="30"/>
      <x:c r="J21" s="26" t="str"/>
      <x:c r="K21" s="26" t="str">
        <x:v>Medium</x:v>
      </x:c>
      <x:c r="L21" s="26" t="str">
        <x:v>Tripadvisor Batroun 2026 listing</x:v>
      </x:c>
      <x:c r="M21" s="26" t="str">
        <x:v>https://www.tripadvisor.com/Restaurants-g1943861-Batroun_North_Governorate.html</x:v>
      </x:c>
      <x:c r="N21" s="26" t="str">
        <x:v>https://www.google.com/maps/search/?api=1&amp;query=Botrys+Sea+Lounge%2C+Batroun+city%2C+Lebanon</x:v>
      </x:c>
      <x:c r="O21" s="26" t="str"/>
      <x:c r="P21" s="26" t="str">
        <x:v>2026-09-08</x:v>
      </x:c>
    </x:row>
    <x:row r="22">
      <x:c r="A22" s="26" t="n">
        <x:v>21</x:v>
      </x:c>
      <x:c r="B22" s="26" t="str">
        <x:v>Batroun</x:v>
      </x:c>
      <x:c r="C22" s="26" t="str">
        <x:v>Batroun city</x:v>
      </x:c>
      <x:c r="D22" s="26" t="str">
        <x:v>Georges Maalouf Seafood &amp; Snack</x:v>
      </x:c>
      <x:c r="E22" s="26" t="str">
        <x:v>Seafood</x:v>
      </x:c>
      <x:c r="F22" s="26" t="str">
        <x:v>Listed current</x:v>
      </x:c>
      <x:c r="G22" s="26" t="str">
        <x:v>+961 3 743 524</x:v>
      </x:c>
      <x:c r="H22" s="28" t="n">
        <x:v>4.9</x:v>
      </x:c>
      <x:c r="I22" s="30" t="n">
        <x:v>16</x:v>
      </x:c>
      <x:c r="J22" s="26" t="str"/>
      <x:c r="K22" s="26" t="str">
        <x:v>High</x:v>
      </x:c>
      <x:c r="L22" s="26" t="str">
        <x:v>Tripadvisor Batroun 2026 listing</x:v>
      </x:c>
      <x:c r="M22" s="26" t="str">
        <x:v>https://www.tripadvisor.com/Restaurant_Review-g1943861-d10507771-Reviews-Georges_Maalouf_Seafood_Snack-Batroun_North_Governorate.html</x:v>
      </x:c>
      <x:c r="N22" s="26" t="str">
        <x:v>https://www.google.com/maps/search/?api=1&amp;query=Georges+Maalouf+Seafood+%26+Snack%2C+Batroun+city%2C+Lebanon</x:v>
      </x:c>
      <x:c r="O22" s="26" t="str"/>
      <x:c r="P22" s="26" t="str">
        <x:v>2026-09-08</x:v>
      </x:c>
    </x:row>
    <x:row r="23">
      <x:c r="A23" s="26" t="n">
        <x:v>22</x:v>
      </x:c>
      <x:c r="B23" s="26" t="str">
        <x:v>Batroun</x:v>
      </x:c>
      <x:c r="C23" s="26" t="str">
        <x:v>Batroun city</x:v>
      </x:c>
      <x:c r="D23" s="26" t="str">
        <x:v>Le Marin</x:v>
      </x:c>
      <x:c r="E23" s="26" t="str">
        <x:v>Lebanese / seafood</x:v>
      </x:c>
      <x:c r="F23" s="26" t="str">
        <x:v>Listed current</x:v>
      </x:c>
      <x:c r="G23" s="26" t="str"/>
      <x:c r="H23" s="28"/>
      <x:c r="I23" s="30"/>
      <x:c r="J23" s="26" t="str"/>
      <x:c r="K23" s="26" t="str">
        <x:v>Medium</x:v>
      </x:c>
      <x:c r="L23" s="26" t="str">
        <x:v>Tripadvisor Batroun 2026 listing</x:v>
      </x:c>
      <x:c r="M23" s="26" t="str">
        <x:v>https://www.tripadvisor.com/Restaurants-g1943861-Batroun_North_Governorate.html</x:v>
      </x:c>
      <x:c r="N23" s="26" t="str">
        <x:v>https://www.google.com/maps/search/?api=1&amp;query=Le+Marin%2C+Batroun+city%2C+Lebanon</x:v>
      </x:c>
      <x:c r="O23" s="26" t="str"/>
      <x:c r="P23" s="26" t="str">
        <x:v>2026-09-08</x:v>
      </x:c>
    </x:row>
    <x:row r="24">
      <x:c r="A24" s="26" t="n">
        <x:v>23</x:v>
      </x:c>
      <x:c r="B24" s="26" t="str">
        <x:v>Batroun</x:v>
      </x:c>
      <x:c r="C24" s="26" t="str">
        <x:v>Batroun city</x:v>
      </x:c>
      <x:c r="D24" s="26" t="str">
        <x:v>Oyster's Seafood Bar</x:v>
      </x:c>
      <x:c r="E24" s="26" t="str">
        <x:v>Lebanese / seafood</x:v>
      </x:c>
      <x:c r="F24" s="26" t="str">
        <x:v>Listed current</x:v>
      </x:c>
      <x:c r="G24" s="26" t="str"/>
      <x:c r="H24" s="28"/>
      <x:c r="I24" s="30"/>
      <x:c r="J24" s="26" t="str"/>
      <x:c r="K24" s="26" t="str">
        <x:v>Medium</x:v>
      </x:c>
      <x:c r="L24" s="26" t="str">
        <x:v>Tripadvisor Batroun 2026 listing</x:v>
      </x:c>
      <x:c r="M24" s="26" t="str">
        <x:v>https://www.tripadvisor.com/Restaurants-g1943861-Batroun_North_Governorate.html</x:v>
      </x:c>
      <x:c r="N24" s="26" t="str">
        <x:v>https://www.google.com/maps/search/?api=1&amp;query=Oyster%27s+Seafood+Bar%2C+Batroun+city%2C+Lebanon</x:v>
      </x:c>
      <x:c r="O24" s="26" t="str"/>
      <x:c r="P24" s="26" t="str">
        <x:v>2026-09-08</x:v>
      </x:c>
    </x:row>
    <x:row r="25">
      <x:c r="A25" s="26" t="n">
        <x:v>24</x:v>
      </x:c>
      <x:c r="B25" s="26" t="str">
        <x:v>Batroun</x:v>
      </x:c>
      <x:c r="C25" s="26" t="str">
        <x:v>Batroun city</x:v>
      </x:c>
      <x:c r="D25" s="26" t="str">
        <x:v>Ô-Glacée</x:v>
      </x:c>
      <x:c r="E25" s="26" t="str">
        <x:v>Lebanese / seafood</x:v>
      </x:c>
      <x:c r="F25" s="26" t="str">
        <x:v>Listed current</x:v>
      </x:c>
      <x:c r="G25" s="26" t="str"/>
      <x:c r="H25" s="28"/>
      <x:c r="I25" s="30"/>
      <x:c r="J25" s="26" t="str"/>
      <x:c r="K25" s="26" t="str">
        <x:v>Medium</x:v>
      </x:c>
      <x:c r="L25" s="26" t="str">
        <x:v>Tripadvisor Batroun 2026 listing</x:v>
      </x:c>
      <x:c r="M25" s="26" t="str">
        <x:v>https://www.tripadvisor.com/Restaurants-g1943861-Batroun_North_Governorate.html</x:v>
      </x:c>
      <x:c r="N25" s="26" t="str">
        <x:v>https://www.google.com/maps/search/?api=1&amp;query=%C3%94-Glac%C3%A9e%2C+Batroun+city%2C+Lebanon</x:v>
      </x:c>
      <x:c r="O25" s="26" t="str"/>
      <x:c r="P25" s="26" t="str">
        <x:v>2026-09-08</x:v>
      </x:c>
    </x:row>
    <x:row r="26">
      <x:c r="A26" s="26" t="n">
        <x:v>25</x:v>
      </x:c>
      <x:c r="B26" s="26" t="str">
        <x:v>Batroun</x:v>
      </x:c>
      <x:c r="C26" s="26" t="str">
        <x:v>Batroun city</x:v>
      </x:c>
      <x:c r="D26" s="26" t="str">
        <x:v>Chez Maguy</x:v>
      </x:c>
      <x:c r="E26" s="26" t="str">
        <x:v>Seafood / Mediterranean</x:v>
      </x:c>
      <x:c r="F26" s="26" t="str">
        <x:v>Listed current</x:v>
      </x:c>
      <x:c r="G26" s="26" t="str">
        <x:v>+961 3 439 147</x:v>
      </x:c>
      <x:c r="H26" s="28" t="n">
        <x:v>3</x:v>
      </x:c>
      <x:c r="I26" s="30" t="n">
        <x:v>115</x:v>
      </x:c>
      <x:c r="J26" s="26" t="str">
        <x:v>12:00-00:00 daily</x:v>
      </x:c>
      <x:c r="K26" s="26" t="str">
        <x:v>High</x:v>
      </x:c>
      <x:c r="L26" s="26" t="str">
        <x:v>Tripadvisor Batroun 2026 listing</x:v>
      </x:c>
      <x:c r="M26" s="26" t="str">
        <x:v>https://www.tripadvisor.com/Restaurant_Review-g1943861-d2647474-Reviews-Chez_Maguy-Batroun_North_Governorate.html</x:v>
      </x:c>
      <x:c r="N26" s="26" t="str">
        <x:v>https://www.google.com/maps/search/?api=1&amp;query=Chez+Maguy%2C+Batroun+city%2C+Lebanon</x:v>
      </x:c>
      <x:c r="O26" s="26" t="str"/>
      <x:c r="P26" s="26" t="str">
        <x:v>2026-09-08</x:v>
      </x:c>
    </x:row>
    <x:row r="27">
      <x:c r="A27" s="26" t="n">
        <x:v>26</x:v>
      </x:c>
      <x:c r="B27" s="26" t="str">
        <x:v>Batroun</x:v>
      </x:c>
      <x:c r="C27" s="26" t="str">
        <x:v>Batroun city</x:v>
      </x:c>
      <x:c r="D27" s="26" t="str">
        <x:v>Min Tabkhetna</x:v>
      </x:c>
      <x:c r="E27" s="26" t="str">
        <x:v>Lebanese / Mediterranean</x:v>
      </x:c>
      <x:c r="F27" s="26" t="str">
        <x:v>Listed current</x:v>
      </x:c>
      <x:c r="G27" s="26" t="str"/>
      <x:c r="H27" s="28"/>
      <x:c r="I27" s="30"/>
      <x:c r="J27" s="26" t="str"/>
      <x:c r="K27" s="26" t="str">
        <x:v>Medium</x:v>
      </x:c>
      <x:c r="L27" s="26" t="str">
        <x:v>Tripadvisor Batroun 2026 listing</x:v>
      </x:c>
      <x:c r="M27" s="26" t="str">
        <x:v>https://www.tripadvisor.com/Restaurants-g1943861-Batroun_North_Governorate.html</x:v>
      </x:c>
      <x:c r="N27" s="26" t="str">
        <x:v>https://www.google.com/maps/search/?api=1&amp;query=Min+Tabkhetna%2C+Batroun+city%2C+Lebanon</x:v>
      </x:c>
      <x:c r="O27" s="26" t="str"/>
      <x:c r="P27" s="26" t="str">
        <x:v>2026-09-08</x:v>
      </x:c>
    </x:row>
    <x:row r="28">
      <x:c r="A28" s="26" t="n">
        <x:v>27</x:v>
      </x:c>
      <x:c r="B28" s="26" t="str">
        <x:v>Batroun</x:v>
      </x:c>
      <x:c r="C28" s="26" t="str">
        <x:v>Batroun city</x:v>
      </x:c>
      <x:c r="D28" s="26" t="str">
        <x:v>Ohannes</x:v>
      </x:c>
      <x:c r="E28" s="26" t="str">
        <x:v>Lebanese / Mediterranean</x:v>
      </x:c>
      <x:c r="F28" s="26" t="str">
        <x:v>Listed current</x:v>
      </x:c>
      <x:c r="G28" s="26" t="str"/>
      <x:c r="H28" s="28"/>
      <x:c r="I28" s="30"/>
      <x:c r="J28" s="26" t="str"/>
      <x:c r="K28" s="26" t="str">
        <x:v>Medium</x:v>
      </x:c>
      <x:c r="L28" s="26" t="str">
        <x:v>Tripadvisor Batroun 2026 listing</x:v>
      </x:c>
      <x:c r="M28" s="26" t="str">
        <x:v>https://www.tripadvisor.com/Restaurants-g1943861-Batroun_North_Governorate.html</x:v>
      </x:c>
      <x:c r="N28" s="26" t="str">
        <x:v>https://www.google.com/maps/search/?api=1&amp;query=Ohannes%2C+Batroun+city%2C+Lebanon</x:v>
      </x:c>
      <x:c r="O28" s="26" t="str"/>
      <x:c r="P28" s="26" t="str">
        <x:v>2026-09-08</x:v>
      </x:c>
    </x:row>
    <x:row r="29">
      <x:c r="A29" s="26" t="n">
        <x:v>28</x:v>
      </x:c>
      <x:c r="B29" s="26" t="str">
        <x:v>Batroun</x:v>
      </x:c>
      <x:c r="C29" s="26" t="str">
        <x:v>Batroun city</x:v>
      </x:c>
      <x:c r="D29" s="26" t="str">
        <x:v>La Luccia</x:v>
      </x:c>
      <x:c r="E29" s="26" t="str">
        <x:v>Italian</x:v>
      </x:c>
      <x:c r="F29" s="26" t="str">
        <x:v>Listed current</x:v>
      </x:c>
      <x:c r="G29" s="26" t="str">
        <x:v>+961 70 479 923</x:v>
      </x:c>
      <x:c r="H29" s="28" t="n">
        <x:v>5</x:v>
      </x:c>
      <x:c r="I29" s="30" t="n">
        <x:v>1</x:v>
      </x:c>
      <x:c r="J29" s="26" t="str">
        <x:v>12:00-23:00 daily</x:v>
      </x:c>
      <x:c r="K29" s="26" t="str">
        <x:v>High</x:v>
      </x:c>
      <x:c r="L29" s="26" t="str">
        <x:v>Tripadvisor Batroun 2026 listing</x:v>
      </x:c>
      <x:c r="M29" s="26" t="str">
        <x:v>https://www.plate-app.com/widget/la-luccia</x:v>
      </x:c>
      <x:c r="N29" s="26" t="str">
        <x:v>https://www.google.com/maps/search/?api=1&amp;query=La+Luccia%2C+Batroun+city%2C+Lebanon</x:v>
      </x:c>
      <x:c r="O29" s="26" t="str"/>
      <x:c r="P29" s="26" t="str">
        <x:v>2026-09-08</x:v>
      </x:c>
    </x:row>
    <x:row r="30">
      <x:c r="A30" s="26" t="n">
        <x:v>29</x:v>
      </x:c>
      <x:c r="B30" s="26" t="str">
        <x:v>Batroun</x:v>
      </x:c>
      <x:c r="C30" s="26" t="str">
        <x:v>Batroun city</x:v>
      </x:c>
      <x:c r="D30" s="26" t="str">
        <x:v>Big Mike's Burgers</x:v>
      </x:c>
      <x:c r="E30" s="26" t="str">
        <x:v>Burger restaurant</x:v>
      </x:c>
      <x:c r="F30" s="26" t="str">
        <x:v>Listed current</x:v>
      </x:c>
      <x:c r="G30" s="26" t="str"/>
      <x:c r="H30" s="28"/>
      <x:c r="I30" s="30"/>
      <x:c r="J30" s="26" t="str"/>
      <x:c r="K30" s="26" t="str">
        <x:v>Medium</x:v>
      </x:c>
      <x:c r="L30" s="26" t="str">
        <x:v>Tripadvisor Batroun 2026 listing</x:v>
      </x:c>
      <x:c r="M30" s="26" t="str">
        <x:v>https://www.tripadvisor.com/Restaurants-g1943861-Batroun_North_Governorate.html</x:v>
      </x:c>
      <x:c r="N30" s="26" t="str">
        <x:v>https://www.google.com/maps/search/?api=1&amp;query=Big+Mike%27s+Burgers%2C+Batroun+city%2C+Lebanon</x:v>
      </x:c>
      <x:c r="O30" s="26" t="str"/>
      <x:c r="P30" s="26" t="str">
        <x:v>2026-09-08</x:v>
      </x:c>
    </x:row>
    <x:row r="31">
      <x:c r="A31" s="26" t="n">
        <x:v>30</x:v>
      </x:c>
      <x:c r="B31" s="26" t="str">
        <x:v>Batroun</x:v>
      </x:c>
      <x:c r="C31" s="26" t="str">
        <x:v>Batroun city</x:v>
      </x:c>
      <x:c r="D31" s="26" t="str">
        <x:v>Ahwet Zeitouna Batroun</x:v>
      </x:c>
      <x:c r="E31" s="26" t="str">
        <x:v>Lebanese</x:v>
      </x:c>
      <x:c r="F31" s="26" t="str">
        <x:v>Listed current</x:v>
      </x:c>
      <x:c r="G31" s="26" t="str"/>
      <x:c r="H31" s="28"/>
      <x:c r="I31" s="30"/>
      <x:c r="J31" s="26" t="str"/>
      <x:c r="K31" s="26" t="str">
        <x:v>Medium</x:v>
      </x:c>
      <x:c r="L31" s="26" t="str">
        <x:v>Tripadvisor Batroun 2026 listing</x:v>
      </x:c>
      <x:c r="M31" s="26" t="str">
        <x:v>https://www.tripadvisor.com/Restaurants-g1943861-Batroun_North_Governorate.html</x:v>
      </x:c>
      <x:c r="N31" s="26" t="str">
        <x:v>https://www.google.com/maps/search/?api=1&amp;query=Ahwet+Zeitouna+Batroun%2C+Batroun+city%2C+Lebanon</x:v>
      </x:c>
      <x:c r="O31" s="26" t="str"/>
      <x:c r="P31" s="26" t="str">
        <x:v>2026-09-08</x:v>
      </x:c>
    </x:row>
    <x:row r="32">
      <x:c r="A32" s="26" t="n">
        <x:v>31</x:v>
      </x:c>
      <x:c r="B32" s="26" t="str">
        <x:v>Batroun</x:v>
      </x:c>
      <x:c r="C32" s="26" t="str">
        <x:v>Batroun city</x:v>
      </x:c>
      <x:c r="D32" s="26" t="str">
        <x:v>Adyar Gastronomy</x:v>
      </x:c>
      <x:c r="E32" s="26" t="str">
        <x:v>Restaurant</x:v>
      </x:c>
      <x:c r="F32" s="26" t="str">
        <x:v>Listed current</x:v>
      </x:c>
      <x:c r="G32" s="26" t="str"/>
      <x:c r="H32" s="28"/>
      <x:c r="I32" s="30"/>
      <x:c r="J32" s="26" t="str"/>
      <x:c r="K32" s="26" t="str">
        <x:v>Medium</x:v>
      </x:c>
      <x:c r="L32" s="26" t="str">
        <x:v>Tripadvisor Batroun 2026 listing</x:v>
      </x:c>
      <x:c r="M32" s="26" t="str">
        <x:v>https://www.tripadvisor.com/Restaurants-g1943861-Batroun_North_Governorate.html</x:v>
      </x:c>
      <x:c r="N32" s="26" t="str">
        <x:v>https://www.google.com/maps/search/?api=1&amp;query=Adyar+Gastronomy%2C+Batroun+city%2C+Lebanon</x:v>
      </x:c>
      <x:c r="O32" s="26" t="str"/>
      <x:c r="P32" s="26" t="str">
        <x:v>2026-09-08</x:v>
      </x:c>
    </x:row>
    <x:row r="33">
      <x:c r="A33" s="26" t="n">
        <x:v>32</x:v>
      </x:c>
      <x:c r="B33" s="26" t="str">
        <x:v>Batroun</x:v>
      </x:c>
      <x:c r="C33" s="26" t="str">
        <x:v>Arnaoon</x:v>
      </x:c>
      <x:c r="D33" s="26" t="str">
        <x:v>Arnaoon Village</x:v>
      </x:c>
      <x:c r="E33" s="26" t="str">
        <x:v>Lebanese / international</x:v>
      </x:c>
      <x:c r="F33" s="26" t="str">
        <x:v>Listed current</x:v>
      </x:c>
      <x:c r="G33" s="26" t="str"/>
      <x:c r="H33" s="28"/>
      <x:c r="I33" s="30"/>
      <x:c r="J33" s="26" t="str"/>
      <x:c r="K33" s="26" t="str">
        <x:v>Medium</x:v>
      </x:c>
      <x:c r="L33" s="26" t="str">
        <x:v>Tripadvisor Batroun-area 2026 listing</x:v>
      </x:c>
      <x:c r="M33" s="26" t="str">
        <x:v>https://www.tripadvisor.com/Restaurants-g1943861-Batroun_North_Governorate.html</x:v>
      </x:c>
      <x:c r="N33" s="26" t="str">
        <x:v>https://www.google.com/maps/search/?api=1&amp;query=Arnaoon+Village%2C+Arnaoon%2C+Lebanon</x:v>
      </x:c>
      <x:c r="O33" s="26" t="str">
        <x:v>Batroun District destination; not central Batroun city.</x:v>
      </x:c>
      <x:c r="P33" s="26" t="str">
        <x:v>2026-09-08</x:v>
      </x:c>
    </x:row>
    <x:row r="34">
      <x:c r="A34" s="26" t="n">
        <x:v>33</x:v>
      </x:c>
      <x:c r="B34" s="26" t="str">
        <x:v>Batroun</x:v>
      </x:c>
      <x:c r="C34" s="26" t="str">
        <x:v>Basbina / Batroun district</x:v>
      </x:c>
      <x:c r="D34" s="26" t="str">
        <x:v>Ixsir Winery Restaurant</x:v>
      </x:c>
      <x:c r="E34" s="26" t="str">
        <x:v>Lebanese / Mediterranean</x:v>
      </x:c>
      <x:c r="F34" s="26" t="str">
        <x:v>Listed current</x:v>
      </x:c>
      <x:c r="G34" s="26" t="str"/>
      <x:c r="H34" s="28"/>
      <x:c r="I34" s="30"/>
      <x:c r="J34" s="26" t="str"/>
      <x:c r="K34" s="26" t="str">
        <x:v>Medium</x:v>
      </x:c>
      <x:c r="L34" s="26" t="str">
        <x:v>Tripadvisor Batroun-area 2026 listing</x:v>
      </x:c>
      <x:c r="M34" s="26" t="str">
        <x:v>https://www.tripadvisor.com/Restaurants-g1943861-Batroun_North_Governorate.html</x:v>
      </x:c>
      <x:c r="N34" s="26" t="str">
        <x:v>https://www.google.com/maps/search/?api=1&amp;query=Ixsir+Winery+Restaurant%2C+Basbina+%2F+Batroun+district%2C+Lebanon</x:v>
      </x:c>
      <x:c r="O34" s="26" t="str">
        <x:v>Winery dining; exact locality is outside central Batroun.</x:v>
      </x:c>
      <x:c r="P34" s="26" t="str">
        <x:v>2026-09-08</x:v>
      </x:c>
    </x:row>
    <x:row r="35">
      <x:c r="A35" s="26" t="n">
        <x:v>34</x:v>
      </x:c>
      <x:c r="B35" s="26" t="str">
        <x:v>Batroun</x:v>
      </x:c>
      <x:c r="C35" s="26" t="str">
        <x:v>Orchid / Batroun coast</x:v>
      </x:c>
      <x:c r="D35" s="26" t="str">
        <x:v>Orchid Beach Lounge</x:v>
      </x:c>
      <x:c r="E35" s="26" t="str">
        <x:v>Mediterranean / lounge restaurant</x:v>
      </x:c>
      <x:c r="F35" s="26" t="str">
        <x:v>Listed current</x:v>
      </x:c>
      <x:c r="G35" s="26" t="str"/>
      <x:c r="H35" s="28"/>
      <x:c r="I35" s="30"/>
      <x:c r="J35" s="26" t="str"/>
      <x:c r="K35" s="26" t="str">
        <x:v>Medium</x:v>
      </x:c>
      <x:c r="L35" s="26" t="str">
        <x:v>Tripadvisor Batroun-area 2026 listing</x:v>
      </x:c>
      <x:c r="M35" s="26" t="str">
        <x:v>https://www.tripadvisor.com/Restaurants-g1943861-Batroun_North_Governorate.html</x:v>
      </x:c>
      <x:c r="N35" s="26" t="str">
        <x:v>https://www.google.com/maps/search/?api=1&amp;query=Orchid+Beach+Lounge%2C+Orchid+%2F+Batroun+coast%2C+Lebanon</x:v>
      </x:c>
      <x:c r="O35" s="26" t="str">
        <x:v>Beach destination in wider Batroun area.</x:v>
      </x:c>
      <x:c r="P35" s="26" t="str">
        <x:v>2026-09-08</x:v>
      </x:c>
    </x:row>
    <x:row r="36">
      <x:c r="A36" s="26" t="n">
        <x:v>35</x:v>
      </x:c>
      <x:c r="B36" s="26" t="str">
        <x:v>Batroun</x:v>
      </x:c>
      <x:c r="C36" s="26" t="str">
        <x:v>Batroun coast</x:v>
      </x:c>
      <x:c r="D36" s="26" t="str">
        <x:v>Barracuda Beach Bar</x:v>
      </x:c>
      <x:c r="E36" s="26" t="str">
        <x:v>Seafood / beach bar</x:v>
      </x:c>
      <x:c r="F36" s="26" t="str">
        <x:v>Listed current</x:v>
      </x:c>
      <x:c r="G36" s="26" t="str"/>
      <x:c r="H36" s="28"/>
      <x:c r="I36" s="30"/>
      <x:c r="J36" s="26" t="str"/>
      <x:c r="K36" s="26" t="str">
        <x:v>Medium</x:v>
      </x:c>
      <x:c r="L36" s="26" t="str">
        <x:v>Tripadvisor Batroun-area 2026 listing</x:v>
      </x:c>
      <x:c r="M36" s="26" t="str">
        <x:v>https://www.tripadvisor.com/Restaurants-g1943861-Batroun_North_Governorate.html</x:v>
      </x:c>
      <x:c r="N36" s="26" t="str">
        <x:v>https://www.google.com/maps/search/?api=1&amp;query=Barracuda+Beach+Bar%2C+Batroun+coast%2C+Lebanon</x:v>
      </x:c>
      <x:c r="O36" s="26" t="str">
        <x:v>Restaurant/bar associated with beach venue.</x:v>
      </x:c>
      <x:c r="P36" s="26" t="str">
        <x:v>2026-09-08</x:v>
      </x:c>
    </x:row>
    <x:row r="37">
      <x:c r="A37" s="26" t="n">
        <x:v>36</x:v>
      </x:c>
      <x:c r="B37" s="26" t="str">
        <x:v>Tripoli</x:v>
      </x:c>
      <x:c r="C37" s="26" t="str">
        <x:v>Tripoli city</x:v>
      </x:c>
      <x:c r="D37" s="26" t="str">
        <x:v>Dannoun restaurant</x:v>
      </x:c>
      <x:c r="E37" s="26" t="str">
        <x:v>Lebanese / breakfast</x:v>
      </x:c>
      <x:c r="F37" s="26" t="str">
        <x:v>Listed current</x:v>
      </x:c>
      <x:c r="G37" s="26" t="str"/>
      <x:c r="H37" s="28"/>
      <x:c r="I37" s="30"/>
      <x:c r="J37" s="26" t="str"/>
      <x:c r="K37" s="26" t="str">
        <x:v>High</x:v>
      </x:c>
      <x:c r="L37" s="26" t="str">
        <x:v>Current Tripoli town listing</x:v>
      </x:c>
      <x:c r="M37" s="26" t="str">
        <x:v>https://wenrayhin.com/en/towns/tripoli/food_drink</x:v>
      </x:c>
      <x:c r="N37" s="26" t="str">
        <x:v>https://www.google.com/maps/search/?api=1&amp;query=Dannoun+restaurant%2C+Tripoli+city%2C+Lebanon</x:v>
      </x:c>
      <x:c r="O37" s="26" t="str"/>
      <x:c r="P37" s="26" t="str">
        <x:v>2026-09-08</x:v>
      </x:c>
    </x:row>
    <x:row r="38">
      <x:c r="A38" s="26" t="n">
        <x:v>37</x:v>
      </x:c>
      <x:c r="B38" s="26" t="str">
        <x:v>Tripoli</x:v>
      </x:c>
      <x:c r="C38" s="26" t="str">
        <x:v>Tripoli city</x:v>
      </x:c>
      <x:c r="D38" s="26" t="str">
        <x:v>Baytna</x:v>
      </x:c>
      <x:c r="E38" s="26" t="str">
        <x:v>Traditional Lebanese</x:v>
      </x:c>
      <x:c r="F38" s="26" t="str">
        <x:v>Listed current</x:v>
      </x:c>
      <x:c r="G38" s="26" t="str"/>
      <x:c r="H38" s="28" t="n">
        <x:v>4.3</x:v>
      </x:c>
      <x:c r="I38" s="30" t="n">
        <x:v>58</x:v>
      </x:c>
      <x:c r="J38" s="26" t="str"/>
      <x:c r="K38" s="26" t="str">
        <x:v>High</x:v>
      </x:c>
      <x:c r="L38" s="26" t="str">
        <x:v>Current Tripoli town listing</x:v>
      </x:c>
      <x:c r="M38" s="26" t="str">
        <x:v>https://wenrayhin.com/en/towns/tripoli/food_drink</x:v>
      </x:c>
      <x:c r="N38" s="26" t="str">
        <x:v>https://www.google.com/maps/search/?api=1&amp;query=Baytna%2C+Tripoli+city%2C+Lebanon</x:v>
      </x:c>
      <x:c r="O38" s="26" t="str"/>
      <x:c r="P38" s="26" t="str">
        <x:v>2026-09-08</x:v>
      </x:c>
    </x:row>
    <x:row r="39">
      <x:c r="A39" s="26" t="n">
        <x:v>38</x:v>
      </x:c>
      <x:c r="B39" s="26" t="str">
        <x:v>Tripoli</x:v>
      </x:c>
      <x:c r="C39" s="26" t="str">
        <x:v>Tripoli city</x:v>
      </x:c>
      <x:c r="D39" s="26" t="str">
        <x:v>Celina</x:v>
      </x:c>
      <x:c r="E39" s="26" t="str">
        <x:v>Restaurant</x:v>
      </x:c>
      <x:c r="F39" s="26" t="str">
        <x:v>Listed current</x:v>
      </x:c>
      <x:c r="G39" s="26" t="str"/>
      <x:c r="H39" s="28"/>
      <x:c r="I39" s="30"/>
      <x:c r="J39" s="26" t="str"/>
      <x:c r="K39" s="26" t="str">
        <x:v>High</x:v>
      </x:c>
      <x:c r="L39" s="26" t="str">
        <x:v>Current Tripoli town listing</x:v>
      </x:c>
      <x:c r="M39" s="26" t="str">
        <x:v>https://wenrayhin.com/en/towns/tripoli/food_drink</x:v>
      </x:c>
      <x:c r="N39" s="26" t="str">
        <x:v>https://www.google.com/maps/search/?api=1&amp;query=Celina%2C+Tripoli+city%2C+Lebanon</x:v>
      </x:c>
      <x:c r="O39" s="26" t="str"/>
      <x:c r="P39" s="26" t="str">
        <x:v>2026-09-08</x:v>
      </x:c>
    </x:row>
    <x:row r="40">
      <x:c r="A40" s="26" t="n">
        <x:v>39</x:v>
      </x:c>
      <x:c r="B40" s="26" t="str">
        <x:v>Tripoli</x:v>
      </x:c>
      <x:c r="C40" s="26" t="str">
        <x:v>Tripoli city</x:v>
      </x:c>
      <x:c r="D40" s="26" t="str">
        <x:v>Dar Al Amar</x:v>
      </x:c>
      <x:c r="E40" s="26" t="str">
        <x:v>Traditional Lebanese</x:v>
      </x:c>
      <x:c r="F40" s="26" t="str">
        <x:v>Listed current</x:v>
      </x:c>
      <x:c r="G40" s="26" t="str"/>
      <x:c r="H40" s="28"/>
      <x:c r="I40" s="30"/>
      <x:c r="J40" s="26" t="str"/>
      <x:c r="K40" s="26" t="str">
        <x:v>High</x:v>
      </x:c>
      <x:c r="L40" s="26" t="str">
        <x:v>Current Tripoli town listing</x:v>
      </x:c>
      <x:c r="M40" s="26" t="str">
        <x:v>https://wenrayhin.com/en/towns/tripoli/food_drink</x:v>
      </x:c>
      <x:c r="N40" s="26" t="str">
        <x:v>https://www.google.com/maps/search/?api=1&amp;query=Dar+Al+Amar%2C+Tripoli+city%2C+Lebanon</x:v>
      </x:c>
      <x:c r="O40" s="26" t="str"/>
      <x:c r="P40" s="26" t="str">
        <x:v>2026-09-08</x:v>
      </x:c>
    </x:row>
    <x:row r="41">
      <x:c r="A41" s="26" t="n">
        <x:v>40</x:v>
      </x:c>
      <x:c r="B41" s="26" t="str">
        <x:v>Tripoli</x:v>
      </x:c>
      <x:c r="C41" s="26" t="str">
        <x:v>Tripoli city</x:v>
      </x:c>
      <x:c r="D41" s="26" t="str">
        <x:v>KEIF</x:v>
      </x:c>
      <x:c r="E41" s="26" t="str">
        <x:v>Restaurant</x:v>
      </x:c>
      <x:c r="F41" s="26" t="str">
        <x:v>Listed current</x:v>
      </x:c>
      <x:c r="G41" s="26" t="str"/>
      <x:c r="H41" s="28"/>
      <x:c r="I41" s="30"/>
      <x:c r="J41" s="26" t="str"/>
      <x:c r="K41" s="26" t="str">
        <x:v>High</x:v>
      </x:c>
      <x:c r="L41" s="26" t="str">
        <x:v>Current Tripoli town listing</x:v>
      </x:c>
      <x:c r="M41" s="26" t="str">
        <x:v>https://wenrayhin.com/en/towns/tripoli/food_drink</x:v>
      </x:c>
      <x:c r="N41" s="26" t="str">
        <x:v>https://www.google.com/maps/search/?api=1&amp;query=KEIF%2C+Tripoli+city%2C+Lebanon</x:v>
      </x:c>
      <x:c r="O41" s="26" t="str"/>
      <x:c r="P41" s="26" t="str">
        <x:v>2026-09-08</x:v>
      </x:c>
    </x:row>
    <x:row r="42">
      <x:c r="A42" s="26" t="n">
        <x:v>41</x:v>
      </x:c>
      <x:c r="B42" s="26" t="str">
        <x:v>Tripoli</x:v>
      </x:c>
      <x:c r="C42" s="26" t="str">
        <x:v>Tripoli city</x:v>
      </x:c>
      <x:c r="D42" s="26" t="str">
        <x:v>Pistachio</x:v>
      </x:c>
      <x:c r="E42" s="26" t="str">
        <x:v>Restaurant</x:v>
      </x:c>
      <x:c r="F42" s="26" t="str">
        <x:v>Listed current</x:v>
      </x:c>
      <x:c r="G42" s="26" t="str"/>
      <x:c r="H42" s="28"/>
      <x:c r="I42" s="30"/>
      <x:c r="J42" s="26" t="str"/>
      <x:c r="K42" s="26" t="str">
        <x:v>High</x:v>
      </x:c>
      <x:c r="L42" s="26" t="str">
        <x:v>Current Tripoli town listing</x:v>
      </x:c>
      <x:c r="M42" s="26" t="str">
        <x:v>https://wenrayhin.com/en/towns/tripoli/food_drink</x:v>
      </x:c>
      <x:c r="N42" s="26" t="str">
        <x:v>https://www.google.com/maps/search/?api=1&amp;query=Pistachio%2C+Tripoli+city%2C+Lebanon</x:v>
      </x:c>
      <x:c r="O42" s="26" t="str"/>
      <x:c r="P42" s="26" t="str">
        <x:v>2026-09-08</x:v>
      </x:c>
    </x:row>
    <x:row r="43">
      <x:c r="A43" s="26" t="n">
        <x:v>42</x:v>
      </x:c>
      <x:c r="B43" s="26" t="str">
        <x:v>Tripoli</x:v>
      </x:c>
      <x:c r="C43" s="26" t="str">
        <x:v>Tripoli city</x:v>
      </x:c>
      <x:c r="D43" s="26" t="str">
        <x:v>Rawand Restaurant</x:v>
      </x:c>
      <x:c r="E43" s="26" t="str">
        <x:v>Lebanese / Mediterranean</x:v>
      </x:c>
      <x:c r="F43" s="26" t="str">
        <x:v>Listed current</x:v>
      </x:c>
      <x:c r="G43" s="26" t="str"/>
      <x:c r="H43" s="28"/>
      <x:c r="I43" s="30"/>
      <x:c r="J43" s="26" t="str"/>
      <x:c r="K43" s="26" t="str">
        <x:v>High</x:v>
      </x:c>
      <x:c r="L43" s="26" t="str">
        <x:v>Current Tripoli town listing</x:v>
      </x:c>
      <x:c r="M43" s="26" t="str">
        <x:v>https://wenrayhin.com/en/towns/tripoli/food_drink</x:v>
      </x:c>
      <x:c r="N43" s="26" t="str">
        <x:v>https://www.google.com/maps/search/?api=1&amp;query=Rawand+Restaurant%2C+Tripoli+city%2C+Lebanon</x:v>
      </x:c>
      <x:c r="O43" s="26" t="str"/>
      <x:c r="P43" s="26" t="str">
        <x:v>2026-09-08</x:v>
      </x:c>
    </x:row>
    <x:row r="44">
      <x:c r="A44" s="26" t="n">
        <x:v>43</x:v>
      </x:c>
      <x:c r="B44" s="26" t="str">
        <x:v>Tripoli</x:v>
      </x:c>
      <x:c r="C44" s="26" t="str">
        <x:v>Tripoli city</x:v>
      </x:c>
      <x:c r="D44" s="26" t="str">
        <x:v>Abou Sobhi</x:v>
      </x:c>
      <x:c r="E44" s="26" t="str">
        <x:v>Traditional Lebanese</x:v>
      </x:c>
      <x:c r="F44" s="26" t="str">
        <x:v>Listed current</x:v>
      </x:c>
      <x:c r="G44" s="26" t="str"/>
      <x:c r="H44" s="28"/>
      <x:c r="I44" s="30"/>
      <x:c r="J44" s="26" t="str"/>
      <x:c r="K44" s="26" t="str">
        <x:v>High</x:v>
      </x:c>
      <x:c r="L44" s="26" t="str">
        <x:v>Current Tripoli town listing</x:v>
      </x:c>
      <x:c r="M44" s="26" t="str">
        <x:v>https://wenrayhin.com/en/towns/tripoli/food_drink</x:v>
      </x:c>
      <x:c r="N44" s="26" t="str">
        <x:v>https://www.google.com/maps/search/?api=1&amp;query=Abou+Sobhi%2C+Tripoli+city%2C+Lebanon</x:v>
      </x:c>
      <x:c r="O44" s="26" t="str"/>
      <x:c r="P44" s="26" t="str">
        <x:v>2026-09-08</x:v>
      </x:c>
    </x:row>
    <x:row r="45">
      <x:c r="A45" s="26" t="n">
        <x:v>44</x:v>
      </x:c>
      <x:c r="B45" s="26" t="str">
        <x:v>Tripoli</x:v>
      </x:c>
      <x:c r="C45" s="26" t="str">
        <x:v>Tripoli city</x:v>
      </x:c>
      <x:c r="D45" s="26" t="str">
        <x:v>Baytna Express</x:v>
      </x:c>
      <x:c r="E45" s="26" t="str">
        <x:v>Traditional Lebanese</x:v>
      </x:c>
      <x:c r="F45" s="26" t="str">
        <x:v>Listed current</x:v>
      </x:c>
      <x:c r="G45" s="26" t="str"/>
      <x:c r="H45" s="28"/>
      <x:c r="I45" s="30"/>
      <x:c r="J45" s="26" t="str"/>
      <x:c r="K45" s="26" t="str">
        <x:v>High</x:v>
      </x:c>
      <x:c r="L45" s="26" t="str">
        <x:v>Current Tripoli town listing</x:v>
      </x:c>
      <x:c r="M45" s="26" t="str">
        <x:v>https://wenrayhin.com/en/towns/tripoli/food_drink</x:v>
      </x:c>
      <x:c r="N45" s="26" t="str">
        <x:v>https://www.google.com/maps/search/?api=1&amp;query=Baytna+Express%2C+Tripoli+city%2C+Lebanon</x:v>
      </x:c>
      <x:c r="O45" s="26" t="str"/>
      <x:c r="P45" s="26" t="str">
        <x:v>2026-09-08</x:v>
      </x:c>
    </x:row>
    <x:row r="46">
      <x:c r="A46" s="26" t="n">
        <x:v>45</x:v>
      </x:c>
      <x:c r="B46" s="26" t="str">
        <x:v>Tripoli</x:v>
      </x:c>
      <x:c r="C46" s="26" t="str">
        <x:v>Tripoli city</x:v>
      </x:c>
      <x:c r="D46" s="26" t="str">
        <x:v>KFC</x:v>
      </x:c>
      <x:c r="E46" s="26" t="str">
        <x:v>Fast food</x:v>
      </x:c>
      <x:c r="F46" s="26" t="str">
        <x:v>Listed current</x:v>
      </x:c>
      <x:c r="G46" s="26" t="str"/>
      <x:c r="H46" s="28"/>
      <x:c r="I46" s="30"/>
      <x:c r="J46" s="26" t="str"/>
      <x:c r="K46" s="26" t="str">
        <x:v>High</x:v>
      </x:c>
      <x:c r="L46" s="26" t="str">
        <x:v>Current Tripoli town listing</x:v>
      </x:c>
      <x:c r="M46" s="26" t="str">
        <x:v>https://wenrayhin.com/en/towns/tripoli/food_drink</x:v>
      </x:c>
      <x:c r="N46" s="26" t="str">
        <x:v>https://www.google.com/maps/search/?api=1&amp;query=KFC%2C+Tripoli+city%2C+Lebanon</x:v>
      </x:c>
      <x:c r="O46" s="26" t="str"/>
      <x:c r="P46" s="26" t="str">
        <x:v>2026-09-08</x:v>
      </x:c>
    </x:row>
    <x:row r="47">
      <x:c r="A47" s="26" t="n">
        <x:v>46</x:v>
      </x:c>
      <x:c r="B47" s="26" t="str">
        <x:v>Tripoli</x:v>
      </x:c>
      <x:c r="C47" s="26" t="str">
        <x:v>Tripoli city</x:v>
      </x:c>
      <x:c r="D47" s="26" t="str">
        <x:v>McDonald's</x:v>
      </x:c>
      <x:c r="E47" s="26" t="str">
        <x:v>Fast food</x:v>
      </x:c>
      <x:c r="F47" s="26" t="str">
        <x:v>Listed current</x:v>
      </x:c>
      <x:c r="G47" s="26" t="str"/>
      <x:c r="H47" s="28"/>
      <x:c r="I47" s="30"/>
      <x:c r="J47" s="26" t="str"/>
      <x:c r="K47" s="26" t="str">
        <x:v>High</x:v>
      </x:c>
      <x:c r="L47" s="26" t="str">
        <x:v>Current Tripoli town listing</x:v>
      </x:c>
      <x:c r="M47" s="26" t="str">
        <x:v>https://wenrayhin.com/en/towns/tripoli/food_drink</x:v>
      </x:c>
      <x:c r="N47" s="26" t="str">
        <x:v>https://www.google.com/maps/search/?api=1&amp;query=McDonald%27s%2C+Tripoli+city%2C+Lebanon</x:v>
      </x:c>
      <x:c r="O47" s="26" t="str"/>
      <x:c r="P47" s="26" t="str">
        <x:v>2026-09-08</x:v>
      </x:c>
    </x:row>
    <x:row r="48">
      <x:c r="A48" s="26" t="n">
        <x:v>47</x:v>
      </x:c>
      <x:c r="B48" s="26" t="str">
        <x:v>Tripoli</x:v>
      </x:c>
      <x:c r="C48" s="26" t="str">
        <x:v>Tripoli city</x:v>
      </x:c>
      <x:c r="D48" s="26" t="str">
        <x:v>Abdul Rahman Hallab &amp; Sons 1881</x:v>
      </x:c>
      <x:c r="E48" s="26" t="str">
        <x:v>Lebanese / dessert restaurant</x:v>
      </x:c>
      <x:c r="F48" s="26" t="str">
        <x:v>Listed current</x:v>
      </x:c>
      <x:c r="G48" s="26" t="str"/>
      <x:c r="H48" s="28" t="n">
        <x:v>4.5</x:v>
      </x:c>
      <x:c r="I48" s="30" t="n">
        <x:v>390</x:v>
      </x:c>
      <x:c r="J48" s="26" t="str"/>
      <x:c r="K48" s="26" t="str">
        <x:v>High</x:v>
      </x:c>
      <x:c r="L48" s="26" t="str">
        <x:v>Current Tripoli town listing</x:v>
      </x:c>
      <x:c r="M48" s="26" t="str">
        <x:v>https://wenrayhin.com/en/towns/tripoli/food_drink</x:v>
      </x:c>
      <x:c r="N48" s="26" t="str">
        <x:v>https://www.google.com/maps/search/?api=1&amp;query=Abdul+Rahman+Hallab+%26+Sons+1881%2C+Tripoli+city%2C+Lebanon</x:v>
      </x:c>
      <x:c r="O48" s="26" t="str"/>
      <x:c r="P48" s="26" t="str">
        <x:v>2026-09-08</x:v>
      </x:c>
    </x:row>
    <x:row r="49">
      <x:c r="A49" s="26" t="n">
        <x:v>48</x:v>
      </x:c>
      <x:c r="B49" s="26" t="str">
        <x:v>Tripoli</x:v>
      </x:c>
      <x:c r="C49" s="26" t="str">
        <x:v>Tripoli city</x:v>
      </x:c>
      <x:c r="D49" s="26" t="str">
        <x:v>Akra</x:v>
      </x:c>
      <x:c r="E49" s="26" t="str">
        <x:v>Lebanese / Mediterranean</x:v>
      </x:c>
      <x:c r="F49" s="26" t="str">
        <x:v>Listed current</x:v>
      </x:c>
      <x:c r="G49" s="26" t="str"/>
      <x:c r="H49" s="28" t="n">
        <x:v>4.4</x:v>
      </x:c>
      <x:c r="I49" s="30" t="n">
        <x:v>65</x:v>
      </x:c>
      <x:c r="J49" s="26" t="str"/>
      <x:c r="K49" s="26" t="str">
        <x:v>High</x:v>
      </x:c>
      <x:c r="L49" s="26" t="str">
        <x:v>Current Tripoli town listing</x:v>
      </x:c>
      <x:c r="M49" s="26" t="str">
        <x:v>https://wenrayhin.com/en/towns/tripoli/food_drink</x:v>
      </x:c>
      <x:c r="N49" s="26" t="str">
        <x:v>https://www.google.com/maps/search/?api=1&amp;query=Akra%2C+Tripoli+city%2C+Lebanon</x:v>
      </x:c>
      <x:c r="O49" s="26" t="str"/>
      <x:c r="P49" s="26" t="str">
        <x:v>2026-09-08</x:v>
      </x:c>
    </x:row>
    <x:row r="50">
      <x:c r="A50" s="26" t="n">
        <x:v>49</x:v>
      </x:c>
      <x:c r="B50" s="26" t="str">
        <x:v>Tripoli</x:v>
      </x:c>
      <x:c r="C50" s="26" t="str">
        <x:v>Tripoli city</x:v>
      </x:c>
      <x:c r="D50" s="26" t="str">
        <x:v>Vip Restaurant</x:v>
      </x:c>
      <x:c r="E50" s="26" t="str">
        <x:v>Restaurant</x:v>
      </x:c>
      <x:c r="F50" s="26" t="str">
        <x:v>Listed current</x:v>
      </x:c>
      <x:c r="G50" s="26" t="str"/>
      <x:c r="H50" s="28"/>
      <x:c r="I50" s="30"/>
      <x:c r="J50" s="26" t="str"/>
      <x:c r="K50" s="26" t="str">
        <x:v>High</x:v>
      </x:c>
      <x:c r="L50" s="26" t="str">
        <x:v>Current Tripoli town listing</x:v>
      </x:c>
      <x:c r="M50" s="26" t="str">
        <x:v>https://wenrayhin.com/en/towns/tripoli/food_drink</x:v>
      </x:c>
      <x:c r="N50" s="26" t="str">
        <x:v>https://www.google.com/maps/search/?api=1&amp;query=Vip+Restaurant%2C+Tripoli+city%2C+Lebanon</x:v>
      </x:c>
      <x:c r="O50" s="26" t="str"/>
      <x:c r="P50" s="26" t="str">
        <x:v>2026-09-08</x:v>
      </x:c>
    </x:row>
    <x:row r="51">
      <x:c r="A51" s="26" t="n">
        <x:v>50</x:v>
      </x:c>
      <x:c r="B51" s="26" t="str">
        <x:v>Tripoli</x:v>
      </x:c>
      <x:c r="C51" s="26" t="str">
        <x:v>Tripoli city</x:v>
      </x:c>
      <x:c r="D51" s="26" t="str">
        <x:v>Al Daii Restaurant</x:v>
      </x:c>
      <x:c r="E51" s="26" t="str">
        <x:v>Restaurant</x:v>
      </x:c>
      <x:c r="F51" s="26" t="str">
        <x:v>Listed current</x:v>
      </x:c>
      <x:c r="G51" s="26" t="str"/>
      <x:c r="H51" s="28"/>
      <x:c r="I51" s="30"/>
      <x:c r="J51" s="26" t="str"/>
      <x:c r="K51" s="26" t="str">
        <x:v>High</x:v>
      </x:c>
      <x:c r="L51" s="26" t="str">
        <x:v>Current Tripoli town listing</x:v>
      </x:c>
      <x:c r="M51" s="26" t="str">
        <x:v>https://wenrayhin.com/en/towns/tripoli/food_drink</x:v>
      </x:c>
      <x:c r="N51" s="26" t="str">
        <x:v>https://www.google.com/maps/search/?api=1&amp;query=Al+Daii+Restaurant%2C+Tripoli+city%2C+Lebanon</x:v>
      </x:c>
      <x:c r="O51" s="26" t="str"/>
      <x:c r="P51" s="26" t="str">
        <x:v>2026-09-08</x:v>
      </x:c>
    </x:row>
    <x:row r="52">
      <x:c r="A52" s="26" t="n">
        <x:v>51</x:v>
      </x:c>
      <x:c r="B52" s="26" t="str">
        <x:v>Tripoli</x:v>
      </x:c>
      <x:c r="C52" s="26" t="str">
        <x:v>Tripoli city</x:v>
      </x:c>
      <x:c r="D52" s="26" t="str">
        <x:v>Al Ibrahim Seafood</x:v>
      </x:c>
      <x:c r="E52" s="26" t="str">
        <x:v>Seafood</x:v>
      </x:c>
      <x:c r="F52" s="26" t="str">
        <x:v>Listed current</x:v>
      </x:c>
      <x:c r="G52" s="26" t="str"/>
      <x:c r="H52" s="28"/>
      <x:c r="I52" s="30"/>
      <x:c r="J52" s="26" t="str"/>
      <x:c r="K52" s="26" t="str">
        <x:v>High</x:v>
      </x:c>
      <x:c r="L52" s="26" t="str">
        <x:v>Current Tripoli town listing</x:v>
      </x:c>
      <x:c r="M52" s="26" t="str">
        <x:v>https://wenrayhin.com/en/towns/tripoli/food_drink</x:v>
      </x:c>
      <x:c r="N52" s="26" t="str">
        <x:v>https://www.google.com/maps/search/?api=1&amp;query=Al+Ibrahim+Seafood%2C+Tripoli+city%2C+Lebanon</x:v>
      </x:c>
      <x:c r="O52" s="26" t="str"/>
      <x:c r="P52" s="26" t="str">
        <x:v>2026-09-08</x:v>
      </x:c>
    </x:row>
    <x:row r="53">
      <x:c r="A53" s="26" t="n">
        <x:v>52</x:v>
      </x:c>
      <x:c r="B53" s="26" t="str">
        <x:v>Tripoli</x:v>
      </x:c>
      <x:c r="C53" s="26" t="str">
        <x:v>Tripoli city</x:v>
      </x:c>
      <x:c r="D53" s="26" t="str">
        <x:v>Fish Albak</x:v>
      </x:c>
      <x:c r="E53" s="26" t="str">
        <x:v>Seafood</x:v>
      </x:c>
      <x:c r="F53" s="26" t="str">
        <x:v>Listed current</x:v>
      </x:c>
      <x:c r="G53" s="26" t="str"/>
      <x:c r="H53" s="28"/>
      <x:c r="I53" s="30"/>
      <x:c r="J53" s="26" t="str"/>
      <x:c r="K53" s="26" t="str">
        <x:v>High</x:v>
      </x:c>
      <x:c r="L53" s="26" t="str">
        <x:v>Current Tripoli town listing</x:v>
      </x:c>
      <x:c r="M53" s="26" t="str">
        <x:v>https://wenrayhin.com/en/towns/tripoli/food_drink</x:v>
      </x:c>
      <x:c r="N53" s="26" t="str">
        <x:v>https://www.google.com/maps/search/?api=1&amp;query=Fish+Albak%2C+Tripoli+city%2C+Lebanon</x:v>
      </x:c>
      <x:c r="O53" s="26" t="str"/>
      <x:c r="P53" s="26" t="str">
        <x:v>2026-09-08</x:v>
      </x:c>
    </x:row>
    <x:row r="54">
      <x:c r="A54" s="26" t="n">
        <x:v>53</x:v>
      </x:c>
      <x:c r="B54" s="26" t="str">
        <x:v>Tripoli</x:v>
      </x:c>
      <x:c r="C54" s="26" t="str">
        <x:v>Tripoli city</x:v>
      </x:c>
      <x:c r="D54" s="26" t="str">
        <x:v>Paparazzi Special Grill</x:v>
      </x:c>
      <x:c r="E54" s="26" t="str">
        <x:v>Grill restaurant</x:v>
      </x:c>
      <x:c r="F54" s="26" t="str">
        <x:v>Listed current</x:v>
      </x:c>
      <x:c r="G54" s="26" t="str"/>
      <x:c r="H54" s="28"/>
      <x:c r="I54" s="30"/>
      <x:c r="J54" s="26" t="str"/>
      <x:c r="K54" s="26" t="str">
        <x:v>High</x:v>
      </x:c>
      <x:c r="L54" s="26" t="str">
        <x:v>Current Tripoli town listing</x:v>
      </x:c>
      <x:c r="M54" s="26" t="str">
        <x:v>https://wenrayhin.com/en/towns/tripoli/food_drink</x:v>
      </x:c>
      <x:c r="N54" s="26" t="str">
        <x:v>https://www.google.com/maps/search/?api=1&amp;query=Paparazzi+Special+Grill%2C+Tripoli+city%2C+Lebanon</x:v>
      </x:c>
      <x:c r="O54" s="26" t="str"/>
      <x:c r="P54" s="26" t="str">
        <x:v>2026-09-08</x:v>
      </x:c>
    </x:row>
    <x:row r="55">
      <x:c r="A55" s="26" t="n">
        <x:v>54</x:v>
      </x:c>
      <x:c r="B55" s="26" t="str">
        <x:v>Tripoli</x:v>
      </x:c>
      <x:c r="C55" s="26" t="str">
        <x:v>Tripoli city</x:v>
      </x:c>
      <x:c r="D55" s="26" t="str">
        <x:v>Pasta Abou Omar</x:v>
      </x:c>
      <x:c r="E55" s="26" t="str">
        <x:v>Pasta restaurant</x:v>
      </x:c>
      <x:c r="F55" s="26" t="str">
        <x:v>Listed current</x:v>
      </x:c>
      <x:c r="G55" s="26" t="str"/>
      <x:c r="H55" s="28"/>
      <x:c r="I55" s="30"/>
      <x:c r="J55" s="26" t="str"/>
      <x:c r="K55" s="26" t="str">
        <x:v>High</x:v>
      </x:c>
      <x:c r="L55" s="26" t="str">
        <x:v>Current Tripoli town listing</x:v>
      </x:c>
      <x:c r="M55" s="26" t="str">
        <x:v>https://wenrayhin.com/en/towns/tripoli/food_drink</x:v>
      </x:c>
      <x:c r="N55" s="26" t="str">
        <x:v>https://www.google.com/maps/search/?api=1&amp;query=Pasta+Abou+Omar%2C+Tripoli+city%2C+Lebanon</x:v>
      </x:c>
      <x:c r="O55" s="26" t="str"/>
      <x:c r="P55" s="26" t="str">
        <x:v>2026-09-08</x:v>
      </x:c>
    </x:row>
    <x:row r="56">
      <x:c r="A56" s="26" t="n">
        <x:v>55</x:v>
      </x:c>
      <x:c r="B56" s="26" t="str">
        <x:v>Tripoli</x:v>
      </x:c>
      <x:c r="C56" s="26" t="str">
        <x:v>Tripoli city</x:v>
      </x:c>
      <x:c r="D56" s="26" t="str">
        <x:v>Restaurant Hamdi</x:v>
      </x:c>
      <x:c r="E56" s="26" t="str">
        <x:v>Breakfast / Lebanese</x:v>
      </x:c>
      <x:c r="F56" s="26" t="str">
        <x:v>Listed current</x:v>
      </x:c>
      <x:c r="G56" s="26" t="str"/>
      <x:c r="H56" s="28"/>
      <x:c r="I56" s="30"/>
      <x:c r="J56" s="26" t="str"/>
      <x:c r="K56" s="26" t="str">
        <x:v>High</x:v>
      </x:c>
      <x:c r="L56" s="26" t="str">
        <x:v>Current Tripoli town listing</x:v>
      </x:c>
      <x:c r="M56" s="26" t="str">
        <x:v>https://wenrayhin.com/en/towns/tripoli/food_drink</x:v>
      </x:c>
      <x:c r="N56" s="26" t="str">
        <x:v>https://www.google.com/maps/search/?api=1&amp;query=Restaurant+Hamdi%2C+Tripoli+city%2C+Lebanon</x:v>
      </x:c>
      <x:c r="O56" s="26" t="str"/>
      <x:c r="P56" s="26" t="str">
        <x:v>2026-09-08</x:v>
      </x:c>
    </x:row>
    <x:row r="57">
      <x:c r="A57" s="26" t="n">
        <x:v>56</x:v>
      </x:c>
      <x:c r="B57" s="26" t="str">
        <x:v>Tripoli</x:v>
      </x:c>
      <x:c r="C57" s="26" t="str">
        <x:v>Tripoli city</x:v>
      </x:c>
      <x:c r="D57" s="26" t="str">
        <x:v>Snack Amro</x:v>
      </x:c>
      <x:c r="E57" s="26" t="str">
        <x:v>Fast food</x:v>
      </x:c>
      <x:c r="F57" s="26" t="str">
        <x:v>Listed current</x:v>
      </x:c>
      <x:c r="G57" s="26" t="str"/>
      <x:c r="H57" s="28"/>
      <x:c r="I57" s="30"/>
      <x:c r="J57" s="26" t="str"/>
      <x:c r="K57" s="26" t="str">
        <x:v>High</x:v>
      </x:c>
      <x:c r="L57" s="26" t="str">
        <x:v>Current Tripoli town listing</x:v>
      </x:c>
      <x:c r="M57" s="26" t="str">
        <x:v>https://wenrayhin.com/en/towns/tripoli/food_drink</x:v>
      </x:c>
      <x:c r="N57" s="26" t="str">
        <x:v>https://www.google.com/maps/search/?api=1&amp;query=Snack+Amro%2C+Tripoli+city%2C+Lebanon</x:v>
      </x:c>
      <x:c r="O57" s="26" t="str"/>
      <x:c r="P57" s="26" t="str">
        <x:v>2026-09-08</x:v>
      </x:c>
    </x:row>
    <x:row r="58">
      <x:c r="A58" s="26" t="n">
        <x:v>57</x:v>
      </x:c>
      <x:c r="B58" s="26" t="str">
        <x:v>Tripoli</x:v>
      </x:c>
      <x:c r="C58" s="26" t="str">
        <x:v>Tripoli city</x:v>
      </x:c>
      <x:c r="D58" s="26" t="str">
        <x:v>El Hajj Ali</x:v>
      </x:c>
      <x:c r="E58" s="26" t="str">
        <x:v>Lebanese / Mediterranean</x:v>
      </x:c>
      <x:c r="F58" s="26" t="str">
        <x:v>Listed current</x:v>
      </x:c>
      <x:c r="G58" s="26" t="str"/>
      <x:c r="H58" s="28" t="n">
        <x:v>4.4</x:v>
      </x:c>
      <x:c r="I58" s="30" t="n">
        <x:v>30</x:v>
      </x:c>
      <x:c r="J58" s="26" t="str"/>
      <x:c r="K58" s="26" t="str">
        <x:v>Medium</x:v>
      </x:c>
      <x:c r="L58" s="26" t="str">
        <x:v>Tripadvisor Tripoli 2026 listing</x:v>
      </x:c>
      <x:c r="M58" s="26" t="str">
        <x:v>https://www.tripadvisor.com/Restaurants-g295422-Tripoli_North_Governorate.html</x:v>
      </x:c>
      <x:c r="N58" s="26" t="str">
        <x:v>https://www.google.com/maps/search/?api=1&amp;query=El+Hajj+Ali%2C+Tripoli+city%2C+Lebanon</x:v>
      </x:c>
      <x:c r="O58" s="26" t="str"/>
      <x:c r="P58" s="26" t="str">
        <x:v>2026-09-08</x:v>
      </x:c>
    </x:row>
    <x:row r="59">
      <x:c r="A59" s="26" t="n">
        <x:v>58</x:v>
      </x:c>
      <x:c r="B59" s="26" t="str">
        <x:v>Tripoli</x:v>
      </x:c>
      <x:c r="C59" s="26" t="str">
        <x:v>Tripoli city</x:v>
      </x:c>
      <x:c r="D59" s="26" t="str">
        <x:v>Al Dannoun</x:v>
      </x:c>
      <x:c r="E59" s="26" t="str">
        <x:v>Lebanese / Mediterranean</x:v>
      </x:c>
      <x:c r="F59" s="26" t="str">
        <x:v>Listed current</x:v>
      </x:c>
      <x:c r="G59" s="26" t="str"/>
      <x:c r="H59" s="28" t="n">
        <x:v>4.5</x:v>
      </x:c>
      <x:c r="I59" s="30" t="n">
        <x:v>22</x:v>
      </x:c>
      <x:c r="J59" s="26" t="str"/>
      <x:c r="K59" s="26" t="str">
        <x:v>Medium</x:v>
      </x:c>
      <x:c r="L59" s="26" t="str">
        <x:v>Tripadvisor Tripoli 2026 listing</x:v>
      </x:c>
      <x:c r="M59" s="26" t="str">
        <x:v>https://www.tripadvisor.com/Restaurants-g295422-Tripoli_North_Governorate.html</x:v>
      </x:c>
      <x:c r="N59" s="26" t="str">
        <x:v>https://www.google.com/maps/search/?api=1&amp;query=Al+Dannoun%2C+Tripoli+city%2C+Lebanon</x:v>
      </x:c>
      <x:c r="O59" s="26" t="str"/>
      <x:c r="P59" s="26" t="str">
        <x:v>2026-09-08</x:v>
      </x:c>
    </x:row>
    <x:row r="60">
      <x:c r="A60" s="26" t="n">
        <x:v>59</x:v>
      </x:c>
      <x:c r="B60" s="26" t="str">
        <x:v>Tripoli</x:v>
      </x:c>
      <x:c r="C60" s="26" t="str">
        <x:v>Tripoli city</x:v>
      </x:c>
      <x:c r="D60" s="26" t="str">
        <x:v>AL Faisal</x:v>
      </x:c>
      <x:c r="E60" s="26" t="str">
        <x:v>Lebanese / Mediterranean</x:v>
      </x:c>
      <x:c r="F60" s="26" t="str">
        <x:v>Listed current</x:v>
      </x:c>
      <x:c r="G60" s="26" t="str"/>
      <x:c r="H60" s="28" t="n">
        <x:v>4.2</x:v>
      </x:c>
      <x:c r="I60" s="30" t="n">
        <x:v>18</x:v>
      </x:c>
      <x:c r="J60" s="26" t="str"/>
      <x:c r="K60" s="26" t="str">
        <x:v>Medium</x:v>
      </x:c>
      <x:c r="L60" s="26" t="str">
        <x:v>Tripadvisor Tripoli 2026 listing</x:v>
      </x:c>
      <x:c r="M60" s="26" t="str">
        <x:v>https://www.tripadvisor.com/Restaurants-g295422-Tripoli_North_Governorate.html</x:v>
      </x:c>
      <x:c r="N60" s="26" t="str">
        <x:v>https://www.google.com/maps/search/?api=1&amp;query=AL+Faisal%2C+Tripoli+city%2C+Lebanon</x:v>
      </x:c>
      <x:c r="O60" s="26" t="str"/>
      <x:c r="P60" s="26" t="str">
        <x:v>2026-09-08</x:v>
      </x:c>
    </x:row>
    <x:row r="61">
      <x:c r="A61" s="26" t="n">
        <x:v>60</x:v>
      </x:c>
      <x:c r="B61" s="26" t="str">
        <x:v>Tripoli</x:v>
      </x:c>
      <x:c r="C61" s="26" t="str">
        <x:v>Tripoli city</x:v>
      </x:c>
      <x:c r="D61" s="26" t="str">
        <x:v>Abou Al Nawas</x:v>
      </x:c>
      <x:c r="E61" s="26" t="str">
        <x:v>Lebanese / Mediterranean</x:v>
      </x:c>
      <x:c r="F61" s="26" t="str">
        <x:v>Listed current</x:v>
      </x:c>
      <x:c r="G61" s="26" t="str"/>
      <x:c r="H61" s="28" t="n">
        <x:v>4.2</x:v>
      </x:c>
      <x:c r="I61" s="30" t="n">
        <x:v>11</x:v>
      </x:c>
      <x:c r="J61" s="26" t="str"/>
      <x:c r="K61" s="26" t="str">
        <x:v>Medium</x:v>
      </x:c>
      <x:c r="L61" s="26" t="str">
        <x:v>Tripadvisor Tripoli 2026 listing</x:v>
      </x:c>
      <x:c r="M61" s="26" t="str">
        <x:v>https://www.tripadvisor.com/Restaurants-g295422-Tripoli_North_Governorate.html</x:v>
      </x:c>
      <x:c r="N61" s="26" t="str">
        <x:v>https://www.google.com/maps/search/?api=1&amp;query=Abou+Al+Nawas%2C+Tripoli+city%2C+Lebanon</x:v>
      </x:c>
      <x:c r="O61" s="26" t="str"/>
      <x:c r="P61" s="26" t="str">
        <x:v>2026-09-08</x:v>
      </x:c>
    </x:row>
    <x:row r="62">
      <x:c r="A62" s="26" t="n">
        <x:v>61</x:v>
      </x:c>
      <x:c r="B62" s="26" t="str">
        <x:v>Tripoli</x:v>
      </x:c>
      <x:c r="C62" s="26" t="str">
        <x:v>Tripoli city</x:v>
      </x:c>
      <x:c r="D62" s="26" t="str">
        <x:v>La Plaka</x:v>
      </x:c>
      <x:c r="E62" s="26" t="str">
        <x:v>Lebanese / Mediterranean</x:v>
      </x:c>
      <x:c r="F62" s="26" t="str">
        <x:v>Listed current</x:v>
      </x:c>
      <x:c r="G62" s="26" t="str"/>
      <x:c r="H62" s="28" t="n">
        <x:v>4.3</x:v>
      </x:c>
      <x:c r="I62" s="30" t="n">
        <x:v>23</x:v>
      </x:c>
      <x:c r="J62" s="26" t="str"/>
      <x:c r="K62" s="26" t="str">
        <x:v>Medium</x:v>
      </x:c>
      <x:c r="L62" s="26" t="str">
        <x:v>Tripadvisor Tripoli 2026 listing</x:v>
      </x:c>
      <x:c r="M62" s="26" t="str">
        <x:v>https://www.tripadvisor.com/Restaurants-g295422-Tripoli_North_Governorate.html</x:v>
      </x:c>
      <x:c r="N62" s="26" t="str">
        <x:v>https://www.google.com/maps/search/?api=1&amp;query=La+Plaka%2C+Tripoli+city%2C+Lebanon</x:v>
      </x:c>
      <x:c r="O62" s="26" t="str"/>
      <x:c r="P62" s="26" t="str">
        <x:v>2026-09-08</x:v>
      </x:c>
    </x:row>
    <x:row r="63">
      <x:c r="A63" s="26" t="n">
        <x:v>62</x:v>
      </x:c>
      <x:c r="B63" s="26" t="str">
        <x:v>Tripoli</x:v>
      </x:c>
      <x:c r="C63" s="26" t="str">
        <x:v>Tripoli city</x:v>
      </x:c>
      <x:c r="D63" s="26" t="str">
        <x:v>Rawand Cuisine</x:v>
      </x:c>
      <x:c r="E63" s="26" t="str">
        <x:v>Lebanese / Mediterranean</x:v>
      </x:c>
      <x:c r="F63" s="26" t="str">
        <x:v>Listed current</x:v>
      </x:c>
      <x:c r="G63" s="26" t="str"/>
      <x:c r="H63" s="28" t="n">
        <x:v>3.9</x:v>
      </x:c>
      <x:c r="I63" s="30" t="n">
        <x:v>8</x:v>
      </x:c>
      <x:c r="J63" s="26" t="str"/>
      <x:c r="K63" s="26" t="str">
        <x:v>Medium</x:v>
      </x:c>
      <x:c r="L63" s="26" t="str">
        <x:v>Tripadvisor Tripoli 2026 listing</x:v>
      </x:c>
      <x:c r="M63" s="26" t="str">
        <x:v>https://www.tripadvisor.com/Restaurants-g295422-Tripoli_North_Governorate.html</x:v>
      </x:c>
      <x:c r="N63" s="26" t="str">
        <x:v>https://www.google.com/maps/search/?api=1&amp;query=Rawand+Cuisine%2C+Tripoli+city%2C+Lebanon</x:v>
      </x:c>
      <x:c r="O63" s="26" t="str"/>
      <x:c r="P63" s="26" t="str">
        <x:v>2026-09-08</x:v>
      </x:c>
    </x:row>
    <x:row r="64">
      <x:c r="A64" s="26" t="n">
        <x:v>63</x:v>
      </x:c>
      <x:c r="B64" s="26" t="str">
        <x:v>Tripoli</x:v>
      </x:c>
      <x:c r="C64" s="26" t="str">
        <x:v>Tripoli city</x:v>
      </x:c>
      <x:c r="D64" s="26" t="str">
        <x:v>Soho Premium Street Food</x:v>
      </x:c>
      <x:c r="E64" s="26" t="str">
        <x:v>American / street food</x:v>
      </x:c>
      <x:c r="F64" s="26" t="str">
        <x:v>Listed current</x:v>
      </x:c>
      <x:c r="G64" s="26" t="str"/>
      <x:c r="H64" s="28"/>
      <x:c r="I64" s="30"/>
      <x:c r="J64" s="26" t="str"/>
      <x:c r="K64" s="26" t="str">
        <x:v>Medium</x:v>
      </x:c>
      <x:c r="L64" s="26" t="str">
        <x:v>Tripadvisor Tripoli 2026 listing</x:v>
      </x:c>
      <x:c r="M64" s="26" t="str">
        <x:v>https://www.tripadvisor.com/Restaurants-g295422-Tripoli_North_Governorate.html</x:v>
      </x:c>
      <x:c r="N64" s="26" t="str">
        <x:v>https://www.google.com/maps/search/?api=1&amp;query=Soho+Premium+Street+Food%2C+Tripoli+city%2C+Lebanon</x:v>
      </x:c>
      <x:c r="O64" s="26" t="str"/>
      <x:c r="P64" s="26" t="str">
        <x:v>2026-09-08</x:v>
      </x:c>
    </x:row>
    <x:row r="65">
      <x:c r="A65" s="26" t="n">
        <x:v>64</x:v>
      </x:c>
      <x:c r="B65" s="26" t="str">
        <x:v>Tripoli</x:v>
      </x:c>
      <x:c r="C65" s="26" t="str">
        <x:v>Tripoli city</x:v>
      </x:c>
      <x:c r="D65" s="26" t="str">
        <x:v>Famous Pastries</x:v>
      </x:c>
      <x:c r="E65" s="26" t="str">
        <x:v>Lebanese quick bites</x:v>
      </x:c>
      <x:c r="F65" s="26" t="str">
        <x:v>Listed current</x:v>
      </x:c>
      <x:c r="G65" s="26" t="str"/>
      <x:c r="H65" s="28"/>
      <x:c r="I65" s="30"/>
      <x:c r="J65" s="26" t="str"/>
      <x:c r="K65" s="26" t="str">
        <x:v>Medium</x:v>
      </x:c>
      <x:c r="L65" s="26" t="str">
        <x:v>Tripadvisor Tripoli 2026 listing</x:v>
      </x:c>
      <x:c r="M65" s="26" t="str">
        <x:v>https://www.tripadvisor.com/Restaurants-g295422-Tripoli_North_Governorate.html</x:v>
      </x:c>
      <x:c r="N65" s="26" t="str">
        <x:v>https://www.google.com/maps/search/?api=1&amp;query=Famous+Pastries%2C+Tripoli+city%2C+Lebanon</x:v>
      </x:c>
      <x:c r="O65" s="26" t="str"/>
      <x:c r="P65" s="26" t="str">
        <x:v>2026-09-08</x:v>
      </x:c>
    </x:row>
    <x:row r="66">
      <x:c r="A66" s="26" t="n">
        <x:v>65</x:v>
      </x:c>
      <x:c r="B66" s="26" t="str">
        <x:v>Tripoli</x:v>
      </x:c>
      <x:c r="C66" s="26" t="str">
        <x:v>Tripoli city</x:v>
      </x:c>
      <x:c r="D66" s="26" t="str">
        <x:v>Machos</x:v>
      </x:c>
      <x:c r="E66" s="26" t="str">
        <x:v>Mexican / American</x:v>
      </x:c>
      <x:c r="F66" s="26" t="str">
        <x:v>Listed current</x:v>
      </x:c>
      <x:c r="G66" s="26" t="str"/>
      <x:c r="H66" s="28" t="n">
        <x:v>5</x:v>
      </x:c>
      <x:c r="I66" s="30" t="n">
        <x:v>2</x:v>
      </x:c>
      <x:c r="J66" s="26" t="str"/>
      <x:c r="K66" s="26" t="str">
        <x:v>Medium</x:v>
      </x:c>
      <x:c r="L66" s="26" t="str">
        <x:v>Tripadvisor Tripoli 2026 listing</x:v>
      </x:c>
      <x:c r="M66" s="26" t="str">
        <x:v>https://www.tripadvisor.com/Restaurants-g295422-Tripoli_North_Governorate.html</x:v>
      </x:c>
      <x:c r="N66" s="26" t="str">
        <x:v>https://www.google.com/maps/search/?api=1&amp;query=Machos%2C+Tripoli+city%2C+Lebanon</x:v>
      </x:c>
      <x:c r="O66" s="26" t="str"/>
      <x:c r="P66" s="26" t="str">
        <x:v>2026-09-08</x:v>
      </x:c>
    </x:row>
    <x:row r="67">
      <x:c r="A67" s="26" t="n">
        <x:v>66</x:v>
      </x:c>
      <x:c r="B67" s="26" t="str">
        <x:v>Tripoli</x:v>
      </x:c>
      <x:c r="C67" s="26" t="str">
        <x:v>Tripoli city</x:v>
      </x:c>
      <x:c r="D67" s="26" t="str">
        <x:v>Punto Alto</x:v>
      </x:c>
      <x:c r="E67" s="26" t="str">
        <x:v>Italian / pizza</x:v>
      </x:c>
      <x:c r="F67" s="26" t="str">
        <x:v>Listed current</x:v>
      </x:c>
      <x:c r="G67" s="26" t="str"/>
      <x:c r="H67" s="28" t="n">
        <x:v>4.3</x:v>
      </x:c>
      <x:c r="I67" s="30" t="n">
        <x:v>74</x:v>
      </x:c>
      <x:c r="J67" s="26" t="str"/>
      <x:c r="K67" s="26" t="str">
        <x:v>Medium</x:v>
      </x:c>
      <x:c r="L67" s="26" t="str">
        <x:v>Tripadvisor Tripoli 2026 listing</x:v>
      </x:c>
      <x:c r="M67" s="26" t="str">
        <x:v>https://www.tripadvisor.com/Restaurants-g295422-Tripoli_North_Governorate.html</x:v>
      </x:c>
      <x:c r="N67" s="26" t="str">
        <x:v>https://www.google.com/maps/search/?api=1&amp;query=Punto+Alto%2C+Tripoli+city%2C+Lebanon</x:v>
      </x:c>
      <x:c r="O67" s="26" t="str"/>
      <x:c r="P67" s="26" t="str">
        <x:v>2026-09-08</x:v>
      </x:c>
    </x:row>
    <x:row r="68">
      <x:c r="A68" s="26" t="n">
        <x:v>67</x:v>
      </x:c>
      <x:c r="B68" s="26" t="str">
        <x:v>Tripoli</x:v>
      </x:c>
      <x:c r="C68" s="26" t="str">
        <x:v>Tripoli city</x:v>
      </x:c>
      <x:c r="D68" s="26" t="str">
        <x:v>Una Pizza</x:v>
      </x:c>
      <x:c r="E68" s="26" t="str">
        <x:v>Italian / pizza</x:v>
      </x:c>
      <x:c r="F68" s="26" t="str">
        <x:v>Listed current</x:v>
      </x:c>
      <x:c r="G68" s="26" t="str"/>
      <x:c r="H68" s="28" t="n">
        <x:v>4.5</x:v>
      </x:c>
      <x:c r="I68" s="30" t="n">
        <x:v>31</x:v>
      </x:c>
      <x:c r="J68" s="26" t="str"/>
      <x:c r="K68" s="26" t="str">
        <x:v>Medium</x:v>
      </x:c>
      <x:c r="L68" s="26" t="str">
        <x:v>Tripadvisor Tripoli 2026 listing</x:v>
      </x:c>
      <x:c r="M68" s="26" t="str">
        <x:v>https://www.tripadvisor.com/Restaurants-g295422-Tripoli_North_Governorate.html</x:v>
      </x:c>
      <x:c r="N68" s="26" t="str">
        <x:v>https://www.google.com/maps/search/?api=1&amp;query=Una+Pizza%2C+Tripoli+city%2C+Lebanon</x:v>
      </x:c>
      <x:c r="O68" s="26" t="str"/>
      <x:c r="P68" s="26" t="str">
        <x:v>2026-09-08</x:v>
      </x:c>
    </x:row>
    <x:row r="69">
      <x:c r="A69" s="26" t="n">
        <x:v>68</x:v>
      </x:c>
      <x:c r="B69" s="26" t="str">
        <x:v>Tripoli</x:v>
      </x:c>
      <x:c r="C69" s="26" t="str">
        <x:v>Tripoli city</x:v>
      </x:c>
      <x:c r="D69" s="26" t="str">
        <x:v>EBS Fayhaa Hall</x:v>
      </x:c>
      <x:c r="E69" s="26" t="str">
        <x:v>American / international</x:v>
      </x:c>
      <x:c r="F69" s="26" t="str">
        <x:v>Listed current</x:v>
      </x:c>
      <x:c r="G69" s="26" t="str"/>
      <x:c r="H69" s="28" t="n">
        <x:v>5</x:v>
      </x:c>
      <x:c r="I69" s="30" t="n">
        <x:v>4</x:v>
      </x:c>
      <x:c r="J69" s="26" t="str"/>
      <x:c r="K69" s="26" t="str">
        <x:v>Medium</x:v>
      </x:c>
      <x:c r="L69" s="26" t="str">
        <x:v>Tripadvisor Tripoli 2026 listing</x:v>
      </x:c>
      <x:c r="M69" s="26" t="str">
        <x:v>https://www.tripadvisor.com/Restaurants-g295422-Tripoli_North_Governorate.html</x:v>
      </x:c>
      <x:c r="N69" s="26" t="str">
        <x:v>https://www.google.com/maps/search/?api=1&amp;query=EBS+Fayhaa+Hall%2C+Tripoli+city%2C+Lebanon</x:v>
      </x:c>
      <x:c r="O69" s="26" t="str"/>
      <x:c r="P69" s="26" t="str">
        <x:v>2026-09-08</x:v>
      </x:c>
    </x:row>
    <x:row r="70">
      <x:c r="A70" s="26" t="n">
        <x:v>69</x:v>
      </x:c>
      <x:c r="B70" s="26" t="str">
        <x:v>Tripoli</x:v>
      </x:c>
      <x:c r="C70" s="26" t="str">
        <x:v>Tripoli city</x:v>
      </x:c>
      <x:c r="D70" s="26" t="str">
        <x:v>Shater Hassan Palace</x:v>
      </x:c>
      <x:c r="E70" s="26" t="str">
        <x:v>Restaurant</x:v>
      </x:c>
      <x:c r="F70" s="26" t="str">
        <x:v>Listed current</x:v>
      </x:c>
      <x:c r="G70" s="26" t="str"/>
      <x:c r="H70" s="28"/>
      <x:c r="I70" s="30"/>
      <x:c r="J70" s="26" t="str"/>
      <x:c r="K70" s="26" t="str">
        <x:v>Medium</x:v>
      </x:c>
      <x:c r="L70" s="26" t="str">
        <x:v>Tripadvisor Tripoli 2026 listing</x:v>
      </x:c>
      <x:c r="M70" s="26" t="str">
        <x:v>https://www.tripadvisor.com/Restaurants-g295422-Tripoli_North_Governorate.html</x:v>
      </x:c>
      <x:c r="N70" s="26" t="str">
        <x:v>https://www.google.com/maps/search/?api=1&amp;query=Shater+Hassan+Palace%2C+Tripoli+city%2C+Lebanon</x:v>
      </x:c>
      <x:c r="O70" s="26" t="str"/>
      <x:c r="P70" s="26" t="str">
        <x:v>2026-09-08</x:v>
      </x:c>
    </x:row>
    <x:row r="71">
      <x:c r="A71" s="26" t="n">
        <x:v>70</x:v>
      </x:c>
      <x:c r="B71" s="26" t="str">
        <x:v>Tripoli</x:v>
      </x:c>
      <x:c r="C71" s="26" t="str">
        <x:v>Tripoli city</x:v>
      </x:c>
      <x:c r="D71" s="26" t="str">
        <x:v>Al Seddik</x:v>
      </x:c>
      <x:c r="E71" s="26" t="str">
        <x:v>Lebanese</x:v>
      </x:c>
      <x:c r="F71" s="26" t="str">
        <x:v>Listed current</x:v>
      </x:c>
      <x:c r="G71" s="26" t="str"/>
      <x:c r="H71" s="28"/>
      <x:c r="I71" s="30"/>
      <x:c r="J71" s="26" t="str"/>
      <x:c r="K71" s="26" t="str">
        <x:v>Medium</x:v>
      </x:c>
      <x:c r="L71" s="26" t="str">
        <x:v>Tripadvisor Tripoli 2026 listing</x:v>
      </x:c>
      <x:c r="M71" s="26" t="str">
        <x:v>https://www.tripadvisor.com/Restaurants-g295422-Tripoli_North_Governorate.html</x:v>
      </x:c>
      <x:c r="N71" s="26" t="str">
        <x:v>https://www.google.com/maps/search/?api=1&amp;query=Al+Seddik%2C+Tripoli+city%2C+Lebanon</x:v>
      </x:c>
      <x:c r="O71" s="26" t="str"/>
      <x:c r="P71" s="26" t="str">
        <x:v>2026-09-08</x:v>
      </x:c>
    </x:row>
    <x:row r="72">
      <x:c r="A72" s="26" t="n">
        <x:v>71</x:v>
      </x:c>
      <x:c r="B72" s="26" t="str">
        <x:v>Tripoli</x:v>
      </x:c>
      <x:c r="C72" s="26" t="str">
        <x:v>Tripoli city</x:v>
      </x:c>
      <x:c r="D72" s="26" t="str">
        <x:v>Mimoz</x:v>
      </x:c>
      <x:c r="E72" s="26" t="str">
        <x:v>Burgers / hotdogs / wraps</x:v>
      </x:c>
      <x:c r="F72" s="26" t="str">
        <x:v>Listed current</x:v>
      </x:c>
      <x:c r="G72" s="26" t="str"/>
      <x:c r="H72" s="28"/>
      <x:c r="I72" s="30"/>
      <x:c r="J72" s="26" t="str"/>
      <x:c r="K72" s="26" t="str">
        <x:v>Medium</x:v>
      </x:c>
      <x:c r="L72" s="26" t="str">
        <x:v>Tripadvisor Tripoli 2026 listing</x:v>
      </x:c>
      <x:c r="M72" s="26" t="str">
        <x:v>https://www.tripadvisor.com/Restaurants-g295422-Tripoli_North_Governorate.html</x:v>
      </x:c>
      <x:c r="N72" s="26" t="str">
        <x:v>https://www.google.com/maps/search/?api=1&amp;query=Mimoz%2C+Tripoli+city%2C+Lebanon</x:v>
      </x:c>
      <x:c r="O72" s="26" t="str"/>
      <x:c r="P72" s="26" t="str">
        <x:v>2026-09-08</x:v>
      </x:c>
    </x:row>
    <x:row r="73">
      <x:c r="A73" s="26" t="n">
        <x:v>72</x:v>
      </x:c>
      <x:c r="B73" s="26" t="str">
        <x:v>Tripoli</x:v>
      </x:c>
      <x:c r="C73" s="26" t="str">
        <x:v>El Mina</x:v>
      </x:c>
      <x:c r="D73" s="26" t="str">
        <x:v>Mimoz</x:v>
      </x:c>
      <x:c r="E73" s="26" t="str">
        <x:v>Fast food</x:v>
      </x:c>
      <x:c r="F73" s="26" t="str">
        <x:v>Listed current</x:v>
      </x:c>
      <x:c r="G73" s="26" t="str"/>
      <x:c r="H73" s="28"/>
      <x:c r="I73" s="30"/>
      <x:c r="J73" s="26" t="str"/>
      <x:c r="K73" s="26" t="str">
        <x:v>High</x:v>
      </x:c>
      <x:c r="L73" s="26" t="str">
        <x:v>Current El Mina town listing / 2026 TripAdvisor cross-check</x:v>
      </x:c>
      <x:c r="M73" s="26" t="str">
        <x:v>https://wenrayhin.com/en/towns/mina/food_drink</x:v>
      </x:c>
      <x:c r="N73" s="26" t="str">
        <x:v>https://www.google.com/maps/search/?api=1&amp;query=Mimoz%2C+El+Mina%2C+Lebanon</x:v>
      </x:c>
      <x:c r="O73" s="26" t="str"/>
      <x:c r="P73" s="26" t="str">
        <x:v>2026-09-08</x:v>
      </x:c>
    </x:row>
    <x:row r="74">
      <x:c r="A74" s="26" t="n">
        <x:v>73</x:v>
      </x:c>
      <x:c r="B74" s="26" t="str">
        <x:v>Tripoli</x:v>
      </x:c>
      <x:c r="C74" s="26" t="str">
        <x:v>El Mina</x:v>
      </x:c>
      <x:c r="D74" s="26" t="str">
        <x:v>Mehramji Restaurant</x:v>
      </x:c>
      <x:c r="E74" s="26" t="str">
        <x:v>Seafood / restaurant</x:v>
      </x:c>
      <x:c r="F74" s="26" t="str">
        <x:v>Listed current</x:v>
      </x:c>
      <x:c r="G74" s="26" t="str"/>
      <x:c r="H74" s="28"/>
      <x:c r="I74" s="30"/>
      <x:c r="J74" s="26" t="str"/>
      <x:c r="K74" s="26" t="str">
        <x:v>High</x:v>
      </x:c>
      <x:c r="L74" s="26" t="str">
        <x:v>Current El Mina town listing / 2026 TripAdvisor cross-check</x:v>
      </x:c>
      <x:c r="M74" s="26" t="str">
        <x:v>https://wenrayhin.com/en/towns/mina/food_drink</x:v>
      </x:c>
      <x:c r="N74" s="26" t="str">
        <x:v>https://www.google.com/maps/search/?api=1&amp;query=Mehramji+Restaurant%2C+El+Mina%2C+Lebanon</x:v>
      </x:c>
      <x:c r="O74" s="26" t="str"/>
      <x:c r="P74" s="26" t="str">
        <x:v>2026-09-08</x:v>
      </x:c>
    </x:row>
    <x:row r="75">
      <x:c r="A75" s="26" t="n">
        <x:v>74</x:v>
      </x:c>
      <x:c r="B75" s="26" t="str">
        <x:v>Tripoli</x:v>
      </x:c>
      <x:c r="C75" s="26" t="str">
        <x:v>El Mina</x:v>
      </x:c>
      <x:c r="D75" s="26" t="str">
        <x:v>Burj Al Samak</x:v>
      </x:c>
      <x:c r="E75" s="26" t="str">
        <x:v>Seafood</x:v>
      </x:c>
      <x:c r="F75" s="26" t="str">
        <x:v>Listed current</x:v>
      </x:c>
      <x:c r="G75" s="26" t="str"/>
      <x:c r="H75" s="28"/>
      <x:c r="I75" s="30"/>
      <x:c r="J75" s="26" t="str"/>
      <x:c r="K75" s="26" t="str">
        <x:v>High</x:v>
      </x:c>
      <x:c r="L75" s="26" t="str">
        <x:v>Current El Mina town listing / 2026 TripAdvisor cross-check</x:v>
      </x:c>
      <x:c r="M75" s="26" t="str">
        <x:v>https://wenrayhin.com/en/towns/mina/food_drink</x:v>
      </x:c>
      <x:c r="N75" s="26" t="str">
        <x:v>https://www.google.com/maps/search/?api=1&amp;query=Burj+Al+Samak%2C+El+Mina%2C+Lebanon</x:v>
      </x:c>
      <x:c r="O75" s="26" t="str"/>
      <x:c r="P75" s="26" t="str">
        <x:v>2026-09-08</x:v>
      </x:c>
    </x:row>
    <x:row r="76">
      <x:c r="A76" s="26" t="n">
        <x:v>75</x:v>
      </x:c>
      <x:c r="B76" s="26" t="str">
        <x:v>Tripoli</x:v>
      </x:c>
      <x:c r="C76" s="26" t="str">
        <x:v>El Mina</x:v>
      </x:c>
      <x:c r="D76" s="26" t="str">
        <x:v>Diwan Al Bahr</x:v>
      </x:c>
      <x:c r="E76" s="26" t="str">
        <x:v>Seafood</x:v>
      </x:c>
      <x:c r="F76" s="26" t="str">
        <x:v>Listed current</x:v>
      </x:c>
      <x:c r="G76" s="26" t="str"/>
      <x:c r="H76" s="28"/>
      <x:c r="I76" s="30"/>
      <x:c r="J76" s="26" t="str"/>
      <x:c r="K76" s="26" t="str">
        <x:v>High</x:v>
      </x:c>
      <x:c r="L76" s="26" t="str">
        <x:v>Current El Mina town listing / 2026 TripAdvisor cross-check</x:v>
      </x:c>
      <x:c r="M76" s="26" t="str">
        <x:v>https://wenrayhin.com/en/towns/mina/food_drink</x:v>
      </x:c>
      <x:c r="N76" s="26" t="str">
        <x:v>https://www.google.com/maps/search/?api=1&amp;query=Diwan+Al+Bahr%2C+El+Mina%2C+Lebanon</x:v>
      </x:c>
      <x:c r="O76" s="26" t="str"/>
      <x:c r="P76" s="26" t="str">
        <x:v>2026-09-08</x:v>
      </x:c>
    </x:row>
    <x:row r="77">
      <x:c r="A77" s="26" t="n">
        <x:v>76</x:v>
      </x:c>
      <x:c r="B77" s="26" t="str">
        <x:v>Tripoli</x:v>
      </x:c>
      <x:c r="C77" s="26" t="str">
        <x:v>El Mina</x:v>
      </x:c>
      <x:c r="D77" s="26" t="str">
        <x:v>Pizza Kamel</x:v>
      </x:c>
      <x:c r="E77" s="26" t="str">
        <x:v>Pizza</x:v>
      </x:c>
      <x:c r="F77" s="26" t="str">
        <x:v>Listed current</x:v>
      </x:c>
      <x:c r="G77" s="26" t="str"/>
      <x:c r="H77" s="28"/>
      <x:c r="I77" s="30"/>
      <x:c r="J77" s="26" t="str"/>
      <x:c r="K77" s="26" t="str">
        <x:v>High</x:v>
      </x:c>
      <x:c r="L77" s="26" t="str">
        <x:v>Current El Mina town listing / 2026 TripAdvisor cross-check</x:v>
      </x:c>
      <x:c r="M77" s="26" t="str">
        <x:v>https://wenrayhin.com/en/towns/mina/food_drink</x:v>
      </x:c>
      <x:c r="N77" s="26" t="str">
        <x:v>https://www.google.com/maps/search/?api=1&amp;query=Pizza+Kamel%2C+El+Mina%2C+Lebanon</x:v>
      </x:c>
      <x:c r="O77" s="26" t="str"/>
      <x:c r="P77" s="26" t="str">
        <x:v>2026-09-08</x:v>
      </x:c>
    </x:row>
    <x:row r="78">
      <x:c r="A78" s="26" t="n">
        <x:v>77</x:v>
      </x:c>
      <x:c r="B78" s="26" t="str">
        <x:v>Tripoli</x:v>
      </x:c>
      <x:c r="C78" s="26" t="str">
        <x:v>El Mina</x:v>
      </x:c>
      <x:c r="D78" s="26" t="str">
        <x:v>Public Restaurant</x:v>
      </x:c>
      <x:c r="E78" s="26" t="str">
        <x:v>Restaurant</x:v>
      </x:c>
      <x:c r="F78" s="26" t="str">
        <x:v>Listed current</x:v>
      </x:c>
      <x:c r="G78" s="26" t="str"/>
      <x:c r="H78" s="28"/>
      <x:c r="I78" s="30"/>
      <x:c r="J78" s="26" t="str"/>
      <x:c r="K78" s="26" t="str">
        <x:v>High</x:v>
      </x:c>
      <x:c r="L78" s="26" t="str">
        <x:v>Current El Mina town listing / 2026 TripAdvisor cross-check</x:v>
      </x:c>
      <x:c r="M78" s="26" t="str">
        <x:v>https://wenrayhin.com/en/towns/mina/food_drink</x:v>
      </x:c>
      <x:c r="N78" s="26" t="str">
        <x:v>https://www.google.com/maps/search/?api=1&amp;query=Public+Restaurant%2C+El+Mina%2C+Lebanon</x:v>
      </x:c>
      <x:c r="O78" s="26" t="str"/>
      <x:c r="P78" s="26" t="str">
        <x:v>2026-09-08</x:v>
      </x:c>
    </x:row>
    <x:row r="79">
      <x:c r="A79" s="26" t="n">
        <x:v>78</x:v>
      </x:c>
      <x:c r="B79" s="26" t="str">
        <x:v>Tripoli</x:v>
      </x:c>
      <x:c r="C79" s="26" t="str">
        <x:v>El Mina</x:v>
      </x:c>
      <x:c r="D79" s="26" t="str">
        <x:v>Silver Shore</x:v>
      </x:c>
      <x:c r="E79" s="26" t="str">
        <x:v>Lebanese / seafood</x:v>
      </x:c>
      <x:c r="F79" s="26" t="str">
        <x:v>Listed current</x:v>
      </x:c>
      <x:c r="G79" s="26" t="str"/>
      <x:c r="H79" s="28" t="n">
        <x:v>4.3</x:v>
      </x:c>
      <x:c r="I79" s="30" t="n">
        <x:v>34</x:v>
      </x:c>
      <x:c r="J79" s="26" t="str"/>
      <x:c r="K79" s="26" t="str">
        <x:v>High</x:v>
      </x:c>
      <x:c r="L79" s="26" t="str">
        <x:v>Current El Mina town listing / 2026 TripAdvisor cross-check</x:v>
      </x:c>
      <x:c r="M79" s="26" t="str">
        <x:v>https://wenrayhin.com/en/towns/mina/food_drink</x:v>
      </x:c>
      <x:c r="N79" s="26" t="str">
        <x:v>https://www.google.com/maps/search/?api=1&amp;query=Silver+Shore%2C+El+Mina%2C+Lebanon</x:v>
      </x:c>
      <x:c r="O79" s="26" t="str"/>
      <x:c r="P79" s="26" t="str">
        <x:v>2026-09-08</x:v>
      </x:c>
    </x:row>
    <x:row r="80">
      <x:c r="A80" s="26" t="n">
        <x:v>79</x:v>
      </x:c>
      <x:c r="B80" s="26" t="str">
        <x:v>Tripoli</x:v>
      </x:c>
      <x:c r="C80" s="26" t="str">
        <x:v>El Mina</x:v>
      </x:c>
      <x:c r="D80" s="26" t="str">
        <x:v>The Grill</x:v>
      </x:c>
      <x:c r="E80" s="26" t="str">
        <x:v>Grill restaurant</x:v>
      </x:c>
      <x:c r="F80" s="26" t="str">
        <x:v>Listed current</x:v>
      </x:c>
      <x:c r="G80" s="26" t="str"/>
      <x:c r="H80" s="28"/>
      <x:c r="I80" s="30"/>
      <x:c r="J80" s="26" t="str"/>
      <x:c r="K80" s="26" t="str">
        <x:v>High</x:v>
      </x:c>
      <x:c r="L80" s="26" t="str">
        <x:v>Current El Mina town listing / 2026 TripAdvisor cross-check</x:v>
      </x:c>
      <x:c r="M80" s="26" t="str">
        <x:v>https://wenrayhin.com/en/towns/mina/food_drink</x:v>
      </x:c>
      <x:c r="N80" s="26" t="str">
        <x:v>https://www.google.com/maps/search/?api=1&amp;query=The+Grill%2C+El+Mina%2C+Lebanon</x:v>
      </x:c>
      <x:c r="O80" s="26" t="str"/>
      <x:c r="P80" s="26" t="str">
        <x:v>2026-09-08</x:v>
      </x:c>
    </x:row>
    <x:row r="81">
      <x:c r="A81" s="26" t="n">
        <x:v>80</x:v>
      </x:c>
      <x:c r="B81" s="26" t="str">
        <x:v>Tripoli</x:v>
      </x:c>
      <x:c r="C81" s="26" t="str">
        <x:v>El Mina</x:v>
      </x:c>
      <x:c r="D81" s="26" t="str">
        <x:v>Aquaria</x:v>
      </x:c>
      <x:c r="E81" s="26" t="str">
        <x:v>Restaurant</x:v>
      </x:c>
      <x:c r="F81" s="26" t="str">
        <x:v>Listed current</x:v>
      </x:c>
      <x:c r="G81" s="26" t="str"/>
      <x:c r="H81" s="28"/>
      <x:c r="I81" s="30"/>
      <x:c r="J81" s="26" t="str"/>
      <x:c r="K81" s="26" t="str">
        <x:v>High</x:v>
      </x:c>
      <x:c r="L81" s="26" t="str">
        <x:v>Current El Mina town listing / 2026 TripAdvisor cross-check</x:v>
      </x:c>
      <x:c r="M81" s="26" t="str">
        <x:v>https://wenrayhin.com/en/towns/mina/food_drink</x:v>
      </x:c>
      <x:c r="N81" s="26" t="str">
        <x:v>https://www.google.com/maps/search/?api=1&amp;query=Aquaria%2C+El+Mina%2C+Lebanon</x:v>
      </x:c>
      <x:c r="O81" s="26" t="str"/>
      <x:c r="P81" s="26" t="str">
        <x:v>2026-09-08</x:v>
      </x:c>
    </x:row>
    <x:row r="82">
      <x:c r="A82" s="26" t="n">
        <x:v>81</x:v>
      </x:c>
      <x:c r="B82" s="26" t="str">
        <x:v>Tripoli</x:v>
      </x:c>
      <x:c r="C82" s="26" t="str">
        <x:v>El Mina</x:v>
      </x:c>
      <x:c r="D82" s="26" t="str">
        <x:v>Frouj Walid Bayrouti w Awladou</x:v>
      </x:c>
      <x:c r="E82" s="26" t="str">
        <x:v>Chicken restaurant</x:v>
      </x:c>
      <x:c r="F82" s="26" t="str">
        <x:v>Listed current</x:v>
      </x:c>
      <x:c r="G82" s="26" t="str"/>
      <x:c r="H82" s="28"/>
      <x:c r="I82" s="30"/>
      <x:c r="J82" s="26" t="str"/>
      <x:c r="K82" s="26" t="str">
        <x:v>High</x:v>
      </x:c>
      <x:c r="L82" s="26" t="str">
        <x:v>Current El Mina town listing / 2026 TripAdvisor cross-check</x:v>
      </x:c>
      <x:c r="M82" s="26" t="str">
        <x:v>https://wenrayhin.com/en/towns/mina/food_drink</x:v>
      </x:c>
      <x:c r="N82" s="26" t="str">
        <x:v>https://www.google.com/maps/search/?api=1&amp;query=Frouj+Walid+Bayrouti+w+Awladou%2C+El+Mina%2C+Lebanon</x:v>
      </x:c>
      <x:c r="O82" s="26" t="str"/>
      <x:c r="P82" s="26" t="str">
        <x:v>2026-09-08</x:v>
      </x:c>
    </x:row>
    <x:row r="83">
      <x:c r="A83" s="26" t="n">
        <x:v>82</x:v>
      </x:c>
      <x:c r="B83" s="26" t="str">
        <x:v>Tripoli</x:v>
      </x:c>
      <x:c r="C83" s="26" t="str">
        <x:v>El Mina</x:v>
      </x:c>
      <x:c r="D83" s="26" t="str">
        <x:v>Lanaï Bistro</x:v>
      </x:c>
      <x:c r="E83" s="26" t="str">
        <x:v>Bistro</x:v>
      </x:c>
      <x:c r="F83" s="26" t="str">
        <x:v>Listed current</x:v>
      </x:c>
      <x:c r="G83" s="26" t="str"/>
      <x:c r="H83" s="28"/>
      <x:c r="I83" s="30"/>
      <x:c r="J83" s="26" t="str"/>
      <x:c r="K83" s="26" t="str">
        <x:v>High</x:v>
      </x:c>
      <x:c r="L83" s="26" t="str">
        <x:v>Current El Mina town listing / 2026 TripAdvisor cross-check</x:v>
      </x:c>
      <x:c r="M83" s="26" t="str">
        <x:v>https://wenrayhin.com/en/towns/mina/food_drink</x:v>
      </x:c>
      <x:c r="N83" s="26" t="str">
        <x:v>https://www.google.com/maps/search/?api=1&amp;query=Lana%C3%AF+Bistro%2C+El+Mina%2C+Lebanon</x:v>
      </x:c>
      <x:c r="O83" s="26" t="str"/>
      <x:c r="P83" s="26" t="str">
        <x:v>2026-09-08</x:v>
      </x:c>
    </x:row>
    <x:row r="84">
      <x:c r="A84" s="26" t="n">
        <x:v>83</x:v>
      </x:c>
      <x:c r="B84" s="26" t="str">
        <x:v>Tripoli</x:v>
      </x:c>
      <x:c r="C84" s="26" t="str">
        <x:v>El Mina</x:v>
      </x:c>
      <x:c r="D84" s="26" t="str">
        <x:v>Sabra</x:v>
      </x:c>
      <x:c r="E84" s="26" t="str">
        <x:v>Restaurant</x:v>
      </x:c>
      <x:c r="F84" s="26" t="str">
        <x:v>Listed current</x:v>
      </x:c>
      <x:c r="G84" s="26" t="str"/>
      <x:c r="H84" s="28"/>
      <x:c r="I84" s="30"/>
      <x:c r="J84" s="26" t="str"/>
      <x:c r="K84" s="26" t="str">
        <x:v>High</x:v>
      </x:c>
      <x:c r="L84" s="26" t="str">
        <x:v>Current El Mina town listing / 2026 TripAdvisor cross-check</x:v>
      </x:c>
      <x:c r="M84" s="26" t="str">
        <x:v>https://wenrayhin.com/en/towns/mina/food_drink</x:v>
      </x:c>
      <x:c r="N84" s="26" t="str">
        <x:v>https://www.google.com/maps/search/?api=1&amp;query=Sabra%2C+El+Mina%2C+Lebanon</x:v>
      </x:c>
      <x:c r="O84" s="26" t="str"/>
      <x:c r="P84" s="26" t="str">
        <x:v>2026-09-08</x:v>
      </x:c>
    </x:row>
    <x:row r="85">
      <x:c r="A85" s="26" t="n">
        <x:v>84</x:v>
      </x:c>
      <x:c r="B85" s="26" t="str">
        <x:v>Tripoli</x:v>
      </x:c>
      <x:c r="C85" s="26" t="str">
        <x:v>El Mina</x:v>
      </x:c>
      <x:c r="D85" s="26" t="str">
        <x:v>46 Restaurant</x:v>
      </x:c>
      <x:c r="E85" s="26" t="str">
        <x:v>Restaurant</x:v>
      </x:c>
      <x:c r="F85" s="26" t="str">
        <x:v>Listed current</x:v>
      </x:c>
      <x:c r="G85" s="26" t="str"/>
      <x:c r="H85" s="28"/>
      <x:c r="I85" s="30"/>
      <x:c r="J85" s="26" t="str"/>
      <x:c r="K85" s="26" t="str">
        <x:v>High</x:v>
      </x:c>
      <x:c r="L85" s="26" t="str">
        <x:v>Current El Mina town listing / 2026 TripAdvisor cross-check</x:v>
      </x:c>
      <x:c r="M85" s="26" t="str">
        <x:v>https://wenrayhin.com/en/towns/mina/food_drink</x:v>
      </x:c>
      <x:c r="N85" s="26" t="str">
        <x:v>https://www.google.com/maps/search/?api=1&amp;query=46+Restaurant%2C+El+Mina%2C+Lebanon</x:v>
      </x:c>
      <x:c r="O85" s="26" t="str"/>
      <x:c r="P85" s="26" t="str">
        <x:v>2026-09-08</x:v>
      </x:c>
    </x:row>
    <x:row r="86">
      <x:c r="A86" s="26" t="n">
        <x:v>85</x:v>
      </x:c>
      <x:c r="B86" s="26" t="str">
        <x:v>Tripoli</x:v>
      </x:c>
      <x:c r="C86" s="26" t="str">
        <x:v>El Mina</x:v>
      </x:c>
      <x:c r="D86" s="26" t="str">
        <x:v>Abou Elie Octochef</x:v>
      </x:c>
      <x:c r="E86" s="26" t="str">
        <x:v>Seafood</x:v>
      </x:c>
      <x:c r="F86" s="26" t="str">
        <x:v>Listed current</x:v>
      </x:c>
      <x:c r="G86" s="26" t="str"/>
      <x:c r="H86" s="28"/>
      <x:c r="I86" s="30"/>
      <x:c r="J86" s="26" t="str"/>
      <x:c r="K86" s="26" t="str">
        <x:v>High</x:v>
      </x:c>
      <x:c r="L86" s="26" t="str">
        <x:v>Current El Mina town listing / 2026 TripAdvisor cross-check</x:v>
      </x:c>
      <x:c r="M86" s="26" t="str">
        <x:v>https://wenrayhin.com/en/towns/mina/food_drink</x:v>
      </x:c>
      <x:c r="N86" s="26" t="str">
        <x:v>https://www.google.com/maps/search/?api=1&amp;query=Abou+Elie+Octochef%2C+El+Mina%2C+Lebanon</x:v>
      </x:c>
      <x:c r="O86" s="26" t="str"/>
      <x:c r="P86" s="26" t="str">
        <x:v>2026-09-08</x:v>
      </x:c>
    </x:row>
    <x:row r="87">
      <x:c r="A87" s="26" t="n">
        <x:v>86</x:v>
      </x:c>
      <x:c r="B87" s="26" t="str">
        <x:v>Tripoli</x:v>
      </x:c>
      <x:c r="C87" s="26" t="str">
        <x:v>El Mina</x:v>
      </x:c>
      <x:c r="D87" s="26" t="str">
        <x:v>AL Chaar Restaurant</x:v>
      </x:c>
      <x:c r="E87" s="26" t="str">
        <x:v>Restaurant</x:v>
      </x:c>
      <x:c r="F87" s="26" t="str">
        <x:v>Listed current</x:v>
      </x:c>
      <x:c r="G87" s="26" t="str"/>
      <x:c r="H87" s="28"/>
      <x:c r="I87" s="30"/>
      <x:c r="J87" s="26" t="str"/>
      <x:c r="K87" s="26" t="str">
        <x:v>High</x:v>
      </x:c>
      <x:c r="L87" s="26" t="str">
        <x:v>Current El Mina town listing / 2026 TripAdvisor cross-check</x:v>
      </x:c>
      <x:c r="M87" s="26" t="str">
        <x:v>https://wenrayhin.com/en/towns/mina/food_drink</x:v>
      </x:c>
      <x:c r="N87" s="26" t="str">
        <x:v>https://www.google.com/maps/search/?api=1&amp;query=AL+Chaar+Restaurant%2C+El+Mina%2C+Lebanon</x:v>
      </x:c>
      <x:c r="O87" s="26" t="str"/>
      <x:c r="P87" s="26" t="str">
        <x:v>2026-09-08</x:v>
      </x:c>
    </x:row>
    <x:row r="88">
      <x:c r="A88" s="26" t="n">
        <x:v>87</x:v>
      </x:c>
      <x:c r="B88" s="26" t="str">
        <x:v>Tripoli</x:v>
      </x:c>
      <x:c r="C88" s="26" t="str">
        <x:v>El Mina</x:v>
      </x:c>
      <x:c r="D88" s="26" t="str">
        <x:v>Al Fayssal</x:v>
      </x:c>
      <x:c r="E88" s="26" t="str">
        <x:v>Traditional Lebanese</x:v>
      </x:c>
      <x:c r="F88" s="26" t="str">
        <x:v>Listed current</x:v>
      </x:c>
      <x:c r="G88" s="26" t="str"/>
      <x:c r="H88" s="28"/>
      <x:c r="I88" s="30"/>
      <x:c r="J88" s="26" t="str"/>
      <x:c r="K88" s="26" t="str">
        <x:v>High</x:v>
      </x:c>
      <x:c r="L88" s="26" t="str">
        <x:v>Current El Mina town listing / 2026 TripAdvisor cross-check</x:v>
      </x:c>
      <x:c r="M88" s="26" t="str">
        <x:v>https://wenrayhin.com/en/towns/mina/food_drink</x:v>
      </x:c>
      <x:c r="N88" s="26" t="str">
        <x:v>https://www.google.com/maps/search/?api=1&amp;query=Al+Fayssal%2C+El+Mina%2C+Lebanon</x:v>
      </x:c>
      <x:c r="O88" s="26" t="str"/>
      <x:c r="P88" s="26" t="str">
        <x:v>2026-09-08</x:v>
      </x:c>
    </x:row>
    <x:row r="89">
      <x:c r="A89" s="26" t="n">
        <x:v>88</x:v>
      </x:c>
      <x:c r="B89" s="26" t="str">
        <x:v>Tripoli</x:v>
      </x:c>
      <x:c r="C89" s="26" t="str">
        <x:v>El Mina</x:v>
      </x:c>
      <x:c r="D89" s="26" t="str">
        <x:v>Al Jazeera Restaurant</x:v>
      </x:c>
      <x:c r="E89" s="26" t="str">
        <x:v>Restaurant</x:v>
      </x:c>
      <x:c r="F89" s="26" t="str">
        <x:v>Listed current</x:v>
      </x:c>
      <x:c r="G89" s="26" t="str"/>
      <x:c r="H89" s="28"/>
      <x:c r="I89" s="30"/>
      <x:c r="J89" s="26" t="str"/>
      <x:c r="K89" s="26" t="str">
        <x:v>High</x:v>
      </x:c>
      <x:c r="L89" s="26" t="str">
        <x:v>Current El Mina town listing / 2026 TripAdvisor cross-check</x:v>
      </x:c>
      <x:c r="M89" s="26" t="str">
        <x:v>https://wenrayhin.com/en/towns/mina/food_drink</x:v>
      </x:c>
      <x:c r="N89" s="26" t="str">
        <x:v>https://www.google.com/maps/search/?api=1&amp;query=Al+Jazeera+Restaurant%2C+El+Mina%2C+Lebanon</x:v>
      </x:c>
      <x:c r="O89" s="26" t="str"/>
      <x:c r="P89" s="26" t="str">
        <x:v>2026-09-08</x:v>
      </x:c>
    </x:row>
    <x:row r="90">
      <x:c r="A90" s="26" t="n">
        <x:v>89</x:v>
      </x:c>
      <x:c r="B90" s="26" t="str">
        <x:v>Tripoli</x:v>
      </x:c>
      <x:c r="C90" s="26" t="str">
        <x:v>El Mina</x:v>
      </x:c>
      <x:c r="D90" s="26" t="str">
        <x:v>Al Mahramji Express</x:v>
      </x:c>
      <x:c r="E90" s="26" t="str">
        <x:v>Restaurant</x:v>
      </x:c>
      <x:c r="F90" s="26" t="str">
        <x:v>Listed current</x:v>
      </x:c>
      <x:c r="G90" s="26" t="str"/>
      <x:c r="H90" s="28"/>
      <x:c r="I90" s="30"/>
      <x:c r="J90" s="26" t="str"/>
      <x:c r="K90" s="26" t="str">
        <x:v>High</x:v>
      </x:c>
      <x:c r="L90" s="26" t="str">
        <x:v>Current El Mina town listing / 2026 TripAdvisor cross-check</x:v>
      </x:c>
      <x:c r="M90" s="26" t="str">
        <x:v>https://wenrayhin.com/en/towns/mina/food_drink</x:v>
      </x:c>
      <x:c r="N90" s="26" t="str">
        <x:v>https://www.google.com/maps/search/?api=1&amp;query=Al+Mahramji+Express%2C+El+Mina%2C+Lebanon</x:v>
      </x:c>
      <x:c r="O90" s="26" t="str"/>
      <x:c r="P90" s="26" t="str">
        <x:v>2026-09-08</x:v>
      </x:c>
    </x:row>
    <x:row r="91">
      <x:c r="A91" s="26" t="n">
        <x:v>90</x:v>
      </x:c>
      <x:c r="B91" s="26" t="str">
        <x:v>Tripoli</x:v>
      </x:c>
      <x:c r="C91" s="26" t="str">
        <x:v>El Mina</x:v>
      </x:c>
      <x:c r="D91" s="26" t="str">
        <x:v>Almanara Restaurant</x:v>
      </x:c>
      <x:c r="E91" s="26" t="str">
        <x:v>Restaurant</x:v>
      </x:c>
      <x:c r="F91" s="26" t="str">
        <x:v>Listed current</x:v>
      </x:c>
      <x:c r="G91" s="26" t="str"/>
      <x:c r="H91" s="28"/>
      <x:c r="I91" s="30"/>
      <x:c r="J91" s="26" t="str"/>
      <x:c r="K91" s="26" t="str">
        <x:v>High</x:v>
      </x:c>
      <x:c r="L91" s="26" t="str">
        <x:v>Current El Mina town listing / 2026 TripAdvisor cross-check</x:v>
      </x:c>
      <x:c r="M91" s="26" t="str">
        <x:v>https://wenrayhin.com/en/towns/mina/food_drink</x:v>
      </x:c>
      <x:c r="N91" s="26" t="str">
        <x:v>https://www.google.com/maps/search/?api=1&amp;query=Almanara+Restaurant%2C+El+Mina%2C+Lebanon</x:v>
      </x:c>
      <x:c r="O91" s="26" t="str"/>
      <x:c r="P91" s="26" t="str">
        <x:v>2026-09-08</x:v>
      </x:c>
    </x:row>
    <x:row r="92">
      <x:c r="A92" s="26" t="n">
        <x:v>91</x:v>
      </x:c>
      <x:c r="B92" s="26" t="str">
        <x:v>Tripoli</x:v>
      </x:c>
      <x:c r="C92" s="26" t="str">
        <x:v>El Mina</x:v>
      </x:c>
      <x:c r="D92" s="26" t="str">
        <x:v>Al Mina Sheikh for Fish</x:v>
      </x:c>
      <x:c r="E92" s="26" t="str">
        <x:v>Seafood</x:v>
      </x:c>
      <x:c r="F92" s="26" t="str">
        <x:v>Listed current</x:v>
      </x:c>
      <x:c r="G92" s="26" t="str"/>
      <x:c r="H92" s="28"/>
      <x:c r="I92" s="30"/>
      <x:c r="J92" s="26" t="str"/>
      <x:c r="K92" s="26" t="str">
        <x:v>High</x:v>
      </x:c>
      <x:c r="L92" s="26" t="str">
        <x:v>Current El Mina town listing / 2026 TripAdvisor cross-check</x:v>
      </x:c>
      <x:c r="M92" s="26" t="str">
        <x:v>https://wenrayhin.com/en/towns/mina/food_drink</x:v>
      </x:c>
      <x:c r="N92" s="26" t="str">
        <x:v>https://www.google.com/maps/search/?api=1&amp;query=Al+Mina+Sheikh+for+Fish%2C+El+Mina%2C+Lebanon</x:v>
      </x:c>
      <x:c r="O92" s="26" t="str"/>
      <x:c r="P92" s="26" t="str">
        <x:v>2026-09-08</x:v>
      </x:c>
    </x:row>
    <x:row r="93">
      <x:c r="A93" s="26" t="n">
        <x:v>92</x:v>
      </x:c>
      <x:c r="B93" s="26" t="str">
        <x:v>Tripoli</x:v>
      </x:c>
      <x:c r="C93" s="26" t="str">
        <x:v>El Mina</x:v>
      </x:c>
      <x:c r="D93" s="26" t="str">
        <x:v>Al Mustafa Fish Restaurant</x:v>
      </x:c>
      <x:c r="E93" s="26" t="str">
        <x:v>Seafood / grill</x:v>
      </x:c>
      <x:c r="F93" s="26" t="str">
        <x:v>Listed current</x:v>
      </x:c>
      <x:c r="G93" s="26" t="str"/>
      <x:c r="H93" s="28" t="n">
        <x:v>4.8</x:v>
      </x:c>
      <x:c r="I93" s="30" t="n">
        <x:v>5</x:v>
      </x:c>
      <x:c r="J93" s="26" t="str"/>
      <x:c r="K93" s="26" t="str">
        <x:v>High</x:v>
      </x:c>
      <x:c r="L93" s="26" t="str">
        <x:v>Current El Mina town listing / 2026 TripAdvisor cross-check</x:v>
      </x:c>
      <x:c r="M93" s="26" t="str">
        <x:v>https://wenrayhin.com/en/towns/mina/food_drink</x:v>
      </x:c>
      <x:c r="N93" s="26" t="str">
        <x:v>https://www.google.com/maps/search/?api=1&amp;query=Al+Mustafa+Fish+Restaurant%2C+El+Mina%2C+Lebanon</x:v>
      </x:c>
      <x:c r="O93" s="26" t="str"/>
      <x:c r="P93" s="26" t="str">
        <x:v>2026-09-08</x:v>
      </x:c>
    </x:row>
    <x:row r="94">
      <x:c r="A94" s="26" t="n">
        <x:v>93</x:v>
      </x:c>
      <x:c r="B94" s="26" t="str">
        <x:v>Tripoli</x:v>
      </x:c>
      <x:c r="C94" s="26" t="str">
        <x:v>El Mina</x:v>
      </x:c>
      <x:c r="D94" s="26" t="str">
        <x:v>Al Nakhil Restaurant</x:v>
      </x:c>
      <x:c r="E94" s="26" t="str">
        <x:v>Restaurant</x:v>
      </x:c>
      <x:c r="F94" s="26" t="str">
        <x:v>Listed current</x:v>
      </x:c>
      <x:c r="G94" s="26" t="str"/>
      <x:c r="H94" s="28"/>
      <x:c r="I94" s="30"/>
      <x:c r="J94" s="26" t="str"/>
      <x:c r="K94" s="26" t="str">
        <x:v>High</x:v>
      </x:c>
      <x:c r="L94" s="26" t="str">
        <x:v>Current El Mina town listing / 2026 TripAdvisor cross-check</x:v>
      </x:c>
      <x:c r="M94" s="26" t="str">
        <x:v>https://wenrayhin.com/en/towns/mina/food_drink</x:v>
      </x:c>
      <x:c r="N94" s="26" t="str">
        <x:v>https://www.google.com/maps/search/?api=1&amp;query=Al+Nakhil+Restaurant%2C+El+Mina%2C+Lebanon</x:v>
      </x:c>
      <x:c r="O94" s="26" t="str"/>
      <x:c r="P94" s="26" t="str">
        <x:v>2026-09-08</x:v>
      </x:c>
    </x:row>
    <x:row r="95">
      <x:c r="A95" s="26" t="n">
        <x:v>94</x:v>
      </x:c>
      <x:c r="B95" s="26" t="str">
        <x:v>Tripoli</x:v>
      </x:c>
      <x:c r="C95" s="26" t="str">
        <x:v>El Mina</x:v>
      </x:c>
      <x:c r="D95" s="26" t="str">
        <x:v>Bayt El Falafel</x:v>
      </x:c>
      <x:c r="E95" s="26" t="str">
        <x:v>Falafel / Lebanese</x:v>
      </x:c>
      <x:c r="F95" s="26" t="str">
        <x:v>Listed current</x:v>
      </x:c>
      <x:c r="G95" s="26" t="str"/>
      <x:c r="H95" s="28"/>
      <x:c r="I95" s="30"/>
      <x:c r="J95" s="26" t="str"/>
      <x:c r="K95" s="26" t="str">
        <x:v>High</x:v>
      </x:c>
      <x:c r="L95" s="26" t="str">
        <x:v>Current El Mina town listing / 2026 TripAdvisor cross-check</x:v>
      </x:c>
      <x:c r="M95" s="26" t="str">
        <x:v>https://wenrayhin.com/en/towns/mina/food_drink</x:v>
      </x:c>
      <x:c r="N95" s="26" t="str">
        <x:v>https://www.google.com/maps/search/?api=1&amp;query=Bayt+El+Falafel%2C+El+Mina%2C+Lebanon</x:v>
      </x:c>
      <x:c r="O95" s="26" t="str"/>
      <x:c r="P95" s="26" t="str">
        <x:v>2026-09-08</x:v>
      </x:c>
    </x:row>
    <x:row r="96">
      <x:c r="A96" s="26" t="n">
        <x:v>95</x:v>
      </x:c>
      <x:c r="B96" s="26" t="str">
        <x:v>Tripoli</x:v>
      </x:c>
      <x:c r="C96" s="26" t="str">
        <x:v>El Mina</x:v>
      </x:c>
      <x:c r="D96" s="26" t="str">
        <x:v>Beit El Mina</x:v>
      </x:c>
      <x:c r="E96" s="26" t="str">
        <x:v>Restaurant</x:v>
      </x:c>
      <x:c r="F96" s="26" t="str">
        <x:v>Listed current</x:v>
      </x:c>
      <x:c r="G96" s="26" t="str"/>
      <x:c r="H96" s="28"/>
      <x:c r="I96" s="30"/>
      <x:c r="J96" s="26" t="str"/>
      <x:c r="K96" s="26" t="str">
        <x:v>High</x:v>
      </x:c>
      <x:c r="L96" s="26" t="str">
        <x:v>Current El Mina town listing / 2026 TripAdvisor cross-check</x:v>
      </x:c>
      <x:c r="M96" s="26" t="str">
        <x:v>https://wenrayhin.com/en/towns/mina/food_drink</x:v>
      </x:c>
      <x:c r="N96" s="26" t="str">
        <x:v>https://www.google.com/maps/search/?api=1&amp;query=Beit+El+Mina%2C+El+Mina%2C+Lebanon</x:v>
      </x:c>
      <x:c r="O96" s="26" t="str"/>
      <x:c r="P96" s="26" t="str">
        <x:v>2026-09-08</x:v>
      </x:c>
    </x:row>
    <x:row r="97">
      <x:c r="A97" s="26" t="n">
        <x:v>96</x:v>
      </x:c>
      <x:c r="B97" s="26" t="str">
        <x:v>Tripoli</x:v>
      </x:c>
      <x:c r="C97" s="26" t="str">
        <x:v>El Mina</x:v>
      </x:c>
      <x:c r="D97" s="26" t="str">
        <x:v>Beyond Bistro</x:v>
      </x:c>
      <x:c r="E97" s="26" t="str">
        <x:v>Bistro</x:v>
      </x:c>
      <x:c r="F97" s="26" t="str">
        <x:v>Listed current</x:v>
      </x:c>
      <x:c r="G97" s="26" t="str"/>
      <x:c r="H97" s="28"/>
      <x:c r="I97" s="30"/>
      <x:c r="J97" s="26" t="str"/>
      <x:c r="K97" s="26" t="str">
        <x:v>High</x:v>
      </x:c>
      <x:c r="L97" s="26" t="str">
        <x:v>Current El Mina town listing / 2026 TripAdvisor cross-check</x:v>
      </x:c>
      <x:c r="M97" s="26" t="str">
        <x:v>https://wenrayhin.com/en/towns/mina/food_drink</x:v>
      </x:c>
      <x:c r="N97" s="26" t="str">
        <x:v>https://www.google.com/maps/search/?api=1&amp;query=Beyond+Bistro%2C+El+Mina%2C+Lebanon</x:v>
      </x:c>
      <x:c r="O97" s="26" t="str"/>
      <x:c r="P97" s="26" t="str">
        <x:v>2026-09-08</x:v>
      </x:c>
    </x:row>
    <x:row r="98">
      <x:c r="A98" s="26" t="n">
        <x:v>97</x:v>
      </x:c>
      <x:c r="B98" s="26" t="str">
        <x:v>Tripoli</x:v>
      </x:c>
      <x:c r="C98" s="26" t="str">
        <x:v>El Mina</x:v>
      </x:c>
      <x:c r="D98" s="26" t="str">
        <x:v>Chef Bilal Solayman</x:v>
      </x:c>
      <x:c r="E98" s="26" t="str">
        <x:v>Restaurant</x:v>
      </x:c>
      <x:c r="F98" s="26" t="str">
        <x:v>Listed current</x:v>
      </x:c>
      <x:c r="G98" s="26" t="str"/>
      <x:c r="H98" s="28"/>
      <x:c r="I98" s="30"/>
      <x:c r="J98" s="26" t="str"/>
      <x:c r="K98" s="26" t="str">
        <x:v>High</x:v>
      </x:c>
      <x:c r="L98" s="26" t="str">
        <x:v>Current El Mina town listing / 2026 TripAdvisor cross-check</x:v>
      </x:c>
      <x:c r="M98" s="26" t="str">
        <x:v>https://wenrayhin.com/en/towns/mina/food_drink</x:v>
      </x:c>
      <x:c r="N98" s="26" t="str">
        <x:v>https://www.google.com/maps/search/?api=1&amp;query=Chef+Bilal+Solayman%2C+El+Mina%2C+Lebanon</x:v>
      </x:c>
      <x:c r="O98" s="26" t="str"/>
      <x:c r="P98" s="26" t="str">
        <x:v>2026-09-08</x:v>
      </x:c>
    </x:row>
    <x:row r="99">
      <x:c r="A99" s="26" t="n">
        <x:v>98</x:v>
      </x:c>
      <x:c r="B99" s="26" t="str">
        <x:v>Tripoli</x:v>
      </x:c>
      <x:c r="C99" s="26" t="str">
        <x:v>El Mina</x:v>
      </x:c>
      <x:c r="D99" s="26" t="str">
        <x:v>Chef Nour</x:v>
      </x:c>
      <x:c r="E99" s="26" t="str">
        <x:v>Restaurant</x:v>
      </x:c>
      <x:c r="F99" s="26" t="str">
        <x:v>Listed current</x:v>
      </x:c>
      <x:c r="G99" s="26" t="str"/>
      <x:c r="H99" s="28"/>
      <x:c r="I99" s="30"/>
      <x:c r="J99" s="26" t="str"/>
      <x:c r="K99" s="26" t="str">
        <x:v>High</x:v>
      </x:c>
      <x:c r="L99" s="26" t="str">
        <x:v>Current El Mina town listing / 2026 TripAdvisor cross-check</x:v>
      </x:c>
      <x:c r="M99" s="26" t="str">
        <x:v>https://wenrayhin.com/en/towns/mina/food_drink</x:v>
      </x:c>
      <x:c r="N99" s="26" t="str">
        <x:v>https://www.google.com/maps/search/?api=1&amp;query=Chef+Nour%2C+El+Mina%2C+Lebanon</x:v>
      </x:c>
      <x:c r="O99" s="26" t="str"/>
      <x:c r="P99" s="26" t="str">
        <x:v>2026-09-08</x:v>
      </x:c>
    </x:row>
    <x:row r="100">
      <x:c r="A100" s="26" t="n">
        <x:v>99</x:v>
      </x:c>
      <x:c r="B100" s="26" t="str">
        <x:v>Tripoli</x:v>
      </x:c>
      <x:c r="C100" s="26" t="str">
        <x:v>El Mina</x:v>
      </x:c>
      <x:c r="D100" s="26" t="str">
        <x:v>CheZiad</x:v>
      </x:c>
      <x:c r="E100" s="26" t="str">
        <x:v>Restaurant</x:v>
      </x:c>
      <x:c r="F100" s="26" t="str">
        <x:v>Listed current</x:v>
      </x:c>
      <x:c r="G100" s="26" t="str"/>
      <x:c r="H100" s="28"/>
      <x:c r="I100" s="30"/>
      <x:c r="J100" s="26" t="str"/>
      <x:c r="K100" s="26" t="str">
        <x:v>High</x:v>
      </x:c>
      <x:c r="L100" s="26" t="str">
        <x:v>Current El Mina town listing / 2026 TripAdvisor cross-check</x:v>
      </x:c>
      <x:c r="M100" s="26" t="str">
        <x:v>https://wenrayhin.com/en/towns/mina/food_drink</x:v>
      </x:c>
      <x:c r="N100" s="26" t="str">
        <x:v>https://www.google.com/maps/search/?api=1&amp;query=CheZiad%2C+El+Mina%2C+Lebanon</x:v>
      </x:c>
      <x:c r="O100" s="26" t="str"/>
      <x:c r="P100" s="26" t="str">
        <x:v>2026-09-08</x:v>
      </x:c>
    </x:row>
    <x:row r="101">
      <x:c r="A101" s="26" t="n">
        <x:v>100</x:v>
      </x:c>
      <x:c r="B101" s="26" t="str">
        <x:v>Tripoli</x:v>
      </x:c>
      <x:c r="C101" s="26" t="str">
        <x:v>El Mina</x:v>
      </x:c>
      <x:c r="D101" s="26" t="str">
        <x:v>Chez Mokhtar</x:v>
      </x:c>
      <x:c r="E101" s="26" t="str">
        <x:v>Restaurant</x:v>
      </x:c>
      <x:c r="F101" s="26" t="str">
        <x:v>Listed current</x:v>
      </x:c>
      <x:c r="G101" s="26" t="str"/>
      <x:c r="H101" s="28"/>
      <x:c r="I101" s="30"/>
      <x:c r="J101" s="26" t="str"/>
      <x:c r="K101" s="26" t="str">
        <x:v>High</x:v>
      </x:c>
      <x:c r="L101" s="26" t="str">
        <x:v>Current El Mina town listing / 2026 TripAdvisor cross-check</x:v>
      </x:c>
      <x:c r="M101" s="26" t="str">
        <x:v>https://wenrayhin.com/en/towns/mina/food_drink</x:v>
      </x:c>
      <x:c r="N101" s="26" t="str">
        <x:v>https://www.google.com/maps/search/?api=1&amp;query=Chez+Mokhtar%2C+El+Mina%2C+Lebanon</x:v>
      </x:c>
      <x:c r="O101" s="26" t="str"/>
      <x:c r="P101" s="26" t="str">
        <x:v>2026-09-08</x:v>
      </x:c>
    </x:row>
    <x:row r="102">
      <x:c r="A102" s="26" t="n">
        <x:v>101</x:v>
      </x:c>
      <x:c r="B102" s="26" t="str">
        <x:v>Tripoli</x:v>
      </x:c>
      <x:c r="C102" s="26" t="str">
        <x:v>El Mina</x:v>
      </x:c>
      <x:c r="D102" s="26" t="str">
        <x:v>The Sailor Woman</x:v>
      </x:c>
      <x:c r="E102" s="26" t="str">
        <x:v>Lebanese / seafood</x:v>
      </x:c>
      <x:c r="F102" s="26" t="str">
        <x:v>Listed current</x:v>
      </x:c>
      <x:c r="G102" s="26" t="str"/>
      <x:c r="H102" s="28"/>
      <x:c r="I102" s="30"/>
      <x:c r="J102" s="26" t="str"/>
      <x:c r="K102" s="26" t="str">
        <x:v>High</x:v>
      </x:c>
      <x:c r="L102" s="26" t="str">
        <x:v>Current El Mina town listing / 2026 TripAdvisor cross-check</x:v>
      </x:c>
      <x:c r="M102" s="26" t="str">
        <x:v>https://wenrayhin.com/en/towns/mina/food_drink</x:v>
      </x:c>
      <x:c r="N102" s="26" t="str">
        <x:v>https://www.google.com/maps/search/?api=1&amp;query=The+Sailor+Woman%2C+El+Mina%2C+Lebanon</x:v>
      </x:c>
      <x:c r="O102" s="26" t="str"/>
      <x:c r="P102" s="26" t="str">
        <x:v>2026-09-08</x:v>
      </x:c>
    </x:row>
    <x:row r="103">
      <x:c r="A103" s="26" t="n">
        <x:v>102</x:v>
      </x:c>
      <x:c r="B103" s="26" t="str">
        <x:v>Tripoli</x:v>
      </x:c>
      <x:c r="C103" s="26" t="str">
        <x:v>El Mina</x:v>
      </x:c>
      <x:c r="D103" s="26" t="str">
        <x:v>Nakhle Al Sayad</x:v>
      </x:c>
      <x:c r="E103" s="26" t="str">
        <x:v>Lebanese / seafood</x:v>
      </x:c>
      <x:c r="F103" s="26" t="str">
        <x:v>Listed current</x:v>
      </x:c>
      <x:c r="G103" s="26" t="str"/>
      <x:c r="H103" s="28" t="n">
        <x:v>4.8</x:v>
      </x:c>
      <x:c r="I103" s="30" t="n">
        <x:v>4</x:v>
      </x:c>
      <x:c r="J103" s="26" t="str"/>
      <x:c r="K103" s="26" t="str">
        <x:v>High</x:v>
      </x:c>
      <x:c r="L103" s="26" t="str">
        <x:v>Current El Mina town listing / 2026 TripAdvisor cross-check</x:v>
      </x:c>
      <x:c r="M103" s="26" t="str">
        <x:v>https://wenrayhin.com/en/towns/mina/food_drink</x:v>
      </x:c>
      <x:c r="N103" s="26" t="str">
        <x:v>https://www.google.com/maps/search/?api=1&amp;query=Nakhle+Al+Sayad%2C+El+Mina%2C+Lebanon</x:v>
      </x:c>
      <x:c r="O103" s="26" t="str"/>
      <x:c r="P103" s="26" t="str">
        <x:v>2026-09-08</x:v>
      </x:c>
    </x:row>
    <x:row r="104">
      <x:c r="A104" s="26" t="n">
        <x:v>103</x:v>
      </x:c>
      <x:c r="B104" s="26" t="str">
        <x:v>Tripoli</x:v>
      </x:c>
      <x:c r="C104" s="26" t="str">
        <x:v>El Mina</x:v>
      </x:c>
      <x:c r="D104" s="26" t="str">
        <x:v>Minos</x:v>
      </x:c>
      <x:c r="E104" s="26" t="str">
        <x:v>Lebanese / Mediterranean</x:v>
      </x:c>
      <x:c r="F104" s="26" t="str">
        <x:v>Listed current</x:v>
      </x:c>
      <x:c r="G104" s="26" t="str"/>
      <x:c r="H104" s="28" t="n">
        <x:v>4.8</x:v>
      </x:c>
      <x:c r="I104" s="30" t="n">
        <x:v>5</x:v>
      </x:c>
      <x:c r="J104" s="26" t="str"/>
      <x:c r="K104" s="26" t="str">
        <x:v>High</x:v>
      </x:c>
      <x:c r="L104" s="26" t="str">
        <x:v>Current El Mina town listing / 2026 TripAdvisor cross-check</x:v>
      </x:c>
      <x:c r="M104" s="26" t="str">
        <x:v>https://wenrayhin.com/en/towns/mina/food_drink</x:v>
      </x:c>
      <x:c r="N104" s="26" t="str">
        <x:v>https://www.google.com/maps/search/?api=1&amp;query=Minos%2C+El+Mina%2C+Lebanon</x:v>
      </x:c>
      <x:c r="O104" s="26" t="str"/>
      <x:c r="P104" s="26" t="str">
        <x:v>2026-09-08</x:v>
      </x:c>
    </x:row>
    <x:row r="105">
      <x:c r="A105" s="26" t="n">
        <x:v>104</x:v>
      </x:c>
      <x:c r="B105" s="26" t="str">
        <x:v>Tripoli</x:v>
      </x:c>
      <x:c r="C105" s="26" t="str">
        <x:v>El Mina</x:v>
      </x:c>
      <x:c r="D105" s="26" t="str">
        <x:v>Georges Al-Dayaa's</x:v>
      </x:c>
      <x:c r="E105" s="26" t="str">
        <x:v>Seafood</x:v>
      </x:c>
      <x:c r="F105" s="26" t="str">
        <x:v>Listed current</x:v>
      </x:c>
      <x:c r="G105" s="26" t="str"/>
      <x:c r="H105" s="28"/>
      <x:c r="I105" s="30"/>
      <x:c r="J105" s="26" t="str"/>
      <x:c r="K105" s="26" t="str">
        <x:v>High</x:v>
      </x:c>
      <x:c r="L105" s="26" t="str">
        <x:v>Current El Mina town listing / 2026 TripAdvisor cross-check</x:v>
      </x:c>
      <x:c r="M105" s="26" t="str">
        <x:v>https://wenrayhin.com/en/towns/mina/food_drink</x:v>
      </x:c>
      <x:c r="N105" s="26" t="str">
        <x:v>https://www.google.com/maps/search/?api=1&amp;query=Georges+Al-Dayaa%27s%2C+El+Mina%2C+Lebanon</x:v>
      </x:c>
      <x:c r="O105" s="26" t="str"/>
      <x:c r="P105" s="26" t="str">
        <x:v>2026-09-08</x:v>
      </x:c>
    </x:row>
    <x:row r="106">
      <x:c r="A106" s="26" t="n">
        <x:v>105</x:v>
      </x:c>
      <x:c r="B106" s="26" t="str">
        <x:v>Tripoli</x:v>
      </x:c>
      <x:c r="C106" s="26" t="str">
        <x:v>Bahsas</x:v>
      </x:c>
      <x:c r="D106" s="26" t="str">
        <x:v>Dip N Dip</x:v>
      </x:c>
      <x:c r="E106" s="26" t="str">
        <x:v>Dessert restaurant</x:v>
      </x:c>
      <x:c r="F106" s="26" t="str">
        <x:v>Listed current</x:v>
      </x:c>
      <x:c r="G106" s="26" t="str"/>
      <x:c r="H106" s="28"/>
      <x:c r="I106" s="30"/>
      <x:c r="J106" s="26" t="str"/>
      <x:c r="K106" s="26" t="str">
        <x:v>High</x:v>
      </x:c>
      <x:c r="L106" s="26" t="str">
        <x:v>Current Bahsas town listing</x:v>
      </x:c>
      <x:c r="M106" s="26" t="str">
        <x:v>https://wenrayhin.com/en/towns/bahsas/food_drink</x:v>
      </x:c>
      <x:c r="N106" s="26" t="str">
        <x:v>https://www.google.com/maps/search/?api=1&amp;query=Dip+N+Dip%2C+Bahsas%2C+Lebanon</x:v>
      </x:c>
      <x:c r="O106" s="26" t="str"/>
      <x:c r="P106" s="26" t="str">
        <x:v>2026-09-08</x:v>
      </x:c>
    </x:row>
    <x:row r="107">
      <x:c r="A107" s="26" t="n">
        <x:v>106</x:v>
      </x:c>
      <x:c r="B107" s="26" t="str">
        <x:v>Tripoli</x:v>
      </x:c>
      <x:c r="C107" s="26" t="str">
        <x:v>Bahsas</x:v>
      </x:c>
      <x:c r="D107" s="26" t="str">
        <x:v>Mataam Rayyeq</x:v>
      </x:c>
      <x:c r="E107" s="26" t="str">
        <x:v>Restaurant</x:v>
      </x:c>
      <x:c r="F107" s="26" t="str">
        <x:v>Listed current</x:v>
      </x:c>
      <x:c r="G107" s="26" t="str"/>
      <x:c r="H107" s="28"/>
      <x:c r="I107" s="30"/>
      <x:c r="J107" s="26" t="str"/>
      <x:c r="K107" s="26" t="str">
        <x:v>High</x:v>
      </x:c>
      <x:c r="L107" s="26" t="str">
        <x:v>Current Bahsas town listing</x:v>
      </x:c>
      <x:c r="M107" s="26" t="str">
        <x:v>https://wenrayhin.com/en/towns/bahsas/food_drink</x:v>
      </x:c>
      <x:c r="N107" s="26" t="str">
        <x:v>https://www.google.com/maps/search/?api=1&amp;query=Mataam+Rayyeq%2C+Bahsas%2C+Lebanon</x:v>
      </x:c>
      <x:c r="O107" s="26" t="str"/>
      <x:c r="P107" s="26" t="str">
        <x:v>2026-09-08</x:v>
      </x:c>
    </x:row>
    <x:row r="108">
      <x:c r="A108" s="26" t="n">
        <x:v>107</x:v>
      </x:c>
      <x:c r="B108" s="26" t="str">
        <x:v>Tripoli</x:v>
      </x:c>
      <x:c r="C108" s="26" t="str">
        <x:v>Bahsas</x:v>
      </x:c>
      <x:c r="D108" s="26" t="str">
        <x:v>Soho Premium Street Food</x:v>
      </x:c>
      <x:c r="E108" s="26" t="str">
        <x:v>Restaurant / street food</x:v>
      </x:c>
      <x:c r="F108" s="26" t="str">
        <x:v>Listed current</x:v>
      </x:c>
      <x:c r="G108" s="26" t="str"/>
      <x:c r="H108" s="28"/>
      <x:c r="I108" s="30"/>
      <x:c r="J108" s="26" t="str"/>
      <x:c r="K108" s="26" t="str">
        <x:v>High</x:v>
      </x:c>
      <x:c r="L108" s="26" t="str">
        <x:v>Current Bahsas town listing</x:v>
      </x:c>
      <x:c r="M108" s="26" t="str">
        <x:v>https://wenrayhin.com/en/towns/bahsas/food_drink</x:v>
      </x:c>
      <x:c r="N108" s="26" t="str">
        <x:v>https://www.google.com/maps/search/?api=1&amp;query=Soho+Premium+Street+Food%2C+Bahsas%2C+Lebanon</x:v>
      </x:c>
      <x:c r="O108" s="26" t="str"/>
      <x:c r="P108" s="26" t="str">
        <x:v>2026-09-08</x:v>
      </x:c>
    </x:row>
    <x:row r="109">
      <x:c r="A109" s="26" t="n">
        <x:v>108</x:v>
      </x:c>
      <x:c r="B109" s="26" t="str">
        <x:v>Tripoli</x:v>
      </x:c>
      <x:c r="C109" s="26" t="str">
        <x:v>Bahsas</x:v>
      </x:c>
      <x:c r="D109" s="26" t="str">
        <x:v>Akra - Al Bohsas</x:v>
      </x:c>
      <x:c r="E109" s="26" t="str">
        <x:v>Breakfast / Lebanese</x:v>
      </x:c>
      <x:c r="F109" s="26" t="str">
        <x:v>Listed current</x:v>
      </x:c>
      <x:c r="G109" s="26" t="str"/>
      <x:c r="H109" s="28"/>
      <x:c r="I109" s="30"/>
      <x:c r="J109" s="26" t="str"/>
      <x:c r="K109" s="26" t="str">
        <x:v>High</x:v>
      </x:c>
      <x:c r="L109" s="26" t="str">
        <x:v>Current Bahsas town listing</x:v>
      </x:c>
      <x:c r="M109" s="26" t="str">
        <x:v>https://wenrayhin.com/en/towns/bahsas/food_drink</x:v>
      </x:c>
      <x:c r="N109" s="26" t="str">
        <x:v>https://www.google.com/maps/search/?api=1&amp;query=Akra+-+Al+Bohsas%2C+Bahsas%2C+Lebanon</x:v>
      </x:c>
      <x:c r="O109" s="26" t="str"/>
      <x:c r="P109" s="26" t="str">
        <x:v>2026-09-08</x:v>
      </x:c>
    </x:row>
    <x:row r="110">
      <x:c r="A110" s="26" t="n">
        <x:v>109</x:v>
      </x:c>
      <x:c r="B110" s="26" t="str">
        <x:v>Tripoli</x:v>
      </x:c>
      <x:c r="C110" s="26" t="str">
        <x:v>Bahsas</x:v>
      </x:c>
      <x:c r="D110" s="26" t="str">
        <x:v>Al Chef Hassan</x:v>
      </x:c>
      <x:c r="E110" s="26" t="str">
        <x:v>Restaurant</x:v>
      </x:c>
      <x:c r="F110" s="26" t="str">
        <x:v>Listed current</x:v>
      </x:c>
      <x:c r="G110" s="26" t="str"/>
      <x:c r="H110" s="28"/>
      <x:c r="I110" s="30"/>
      <x:c r="J110" s="26" t="str"/>
      <x:c r="K110" s="26" t="str">
        <x:v>High</x:v>
      </x:c>
      <x:c r="L110" s="26" t="str">
        <x:v>Current Bahsas town listing</x:v>
      </x:c>
      <x:c r="M110" s="26" t="str">
        <x:v>https://wenrayhin.com/en/towns/bahsas/food_drink</x:v>
      </x:c>
      <x:c r="N110" s="26" t="str">
        <x:v>https://www.google.com/maps/search/?api=1&amp;query=Al+Chef+Hassan%2C+Bahsas%2C+Lebanon</x:v>
      </x:c>
      <x:c r="O110" s="26" t="str"/>
      <x:c r="P110" s="26" t="str">
        <x:v>2026-09-08</x:v>
      </x:c>
    </x:row>
    <x:row r="111">
      <x:c r="A111" s="26" t="n">
        <x:v>110</x:v>
      </x:c>
      <x:c r="B111" s="26" t="str">
        <x:v>Tripoli</x:v>
      </x:c>
      <x:c r="C111" s="26" t="str">
        <x:v>Bahsas</x:v>
      </x:c>
      <x:c r="D111" s="26" t="str">
        <x:v>Captain Restaurant</x:v>
      </x:c>
      <x:c r="E111" s="26" t="str">
        <x:v>Restaurant</x:v>
      </x:c>
      <x:c r="F111" s="26" t="str">
        <x:v>Listed current</x:v>
      </x:c>
      <x:c r="G111" s="26" t="str"/>
      <x:c r="H111" s="28"/>
      <x:c r="I111" s="30"/>
      <x:c r="J111" s="26" t="str"/>
      <x:c r="K111" s="26" t="str">
        <x:v>High</x:v>
      </x:c>
      <x:c r="L111" s="26" t="str">
        <x:v>Current Bahsas town listing</x:v>
      </x:c>
      <x:c r="M111" s="26" t="str">
        <x:v>https://wenrayhin.com/en/towns/bahsas/food_drink</x:v>
      </x:c>
      <x:c r="N111" s="26" t="str">
        <x:v>https://www.google.com/maps/search/?api=1&amp;query=Captain+Restaurant%2C+Bahsas%2C+Lebanon</x:v>
      </x:c>
      <x:c r="O111" s="26" t="str"/>
      <x:c r="P111" s="26" t="str">
        <x:v>2026-09-08</x:v>
      </x:c>
    </x:row>
    <x:row r="112">
      <x:c r="A112" s="26" t="n">
        <x:v>111</x:v>
      </x:c>
      <x:c r="B112" s="26" t="str">
        <x:v>Tripoli</x:v>
      </x:c>
      <x:c r="C112" s="26" t="str">
        <x:v>Bahsas</x:v>
      </x:c>
      <x:c r="D112" s="26" t="str">
        <x:v>Kahwet Sakina</x:v>
      </x:c>
      <x:c r="E112" s="26" t="str">
        <x:v>Restaurant</x:v>
      </x:c>
      <x:c r="F112" s="26" t="str">
        <x:v>Listed current</x:v>
      </x:c>
      <x:c r="G112" s="26" t="str"/>
      <x:c r="H112" s="28"/>
      <x:c r="I112" s="30"/>
      <x:c r="J112" s="26" t="str"/>
      <x:c r="K112" s="26" t="str">
        <x:v>High</x:v>
      </x:c>
      <x:c r="L112" s="26" t="str">
        <x:v>Current Bahsas town listing</x:v>
      </x:c>
      <x:c r="M112" s="26" t="str">
        <x:v>https://wenrayhin.com/en/towns/bahsas/food_drink</x:v>
      </x:c>
      <x:c r="N112" s="26" t="str">
        <x:v>https://www.google.com/maps/search/?api=1&amp;query=Kahwet+Sakina%2C+Bahsas%2C+Lebanon</x:v>
      </x:c>
      <x:c r="O112" s="26" t="str"/>
      <x:c r="P112" s="26" t="str">
        <x:v>2026-09-08</x:v>
      </x:c>
    </x:row>
    <x:row r="113">
      <x:c r="A113" s="26" t="n">
        <x:v>112</x:v>
      </x:c>
      <x:c r="B113" s="26" t="str">
        <x:v>Tripoli</x:v>
      </x:c>
      <x:c r="C113" s="26" t="str">
        <x:v>Bahsas</x:v>
      </x:c>
      <x:c r="D113" s="26" t="str">
        <x:v>La Campanella</x:v>
      </x:c>
      <x:c r="E113" s="26" t="str">
        <x:v>Restaurant</x:v>
      </x:c>
      <x:c r="F113" s="26" t="str">
        <x:v>Listed current</x:v>
      </x:c>
      <x:c r="G113" s="26" t="str"/>
      <x:c r="H113" s="28"/>
      <x:c r="I113" s="30"/>
      <x:c r="J113" s="26" t="str"/>
      <x:c r="K113" s="26" t="str">
        <x:v>High</x:v>
      </x:c>
      <x:c r="L113" s="26" t="str">
        <x:v>Current Bahsas town listing</x:v>
      </x:c>
      <x:c r="M113" s="26" t="str">
        <x:v>https://wenrayhin.com/en/towns/bahsas/food_drink</x:v>
      </x:c>
      <x:c r="N113" s="26" t="str">
        <x:v>https://www.google.com/maps/search/?api=1&amp;query=La+Campanella%2C+Bahsas%2C+Lebanon</x:v>
      </x:c>
      <x:c r="O113" s="26" t="str"/>
      <x:c r="P113" s="26" t="str">
        <x:v>2026-09-08</x:v>
      </x:c>
    </x:row>
    <x:row r="114">
      <x:c r="A114" s="26" t="n">
        <x:v>113</x:v>
      </x:c>
      <x:c r="B114" s="26" t="str">
        <x:v>Tripoli</x:v>
      </x:c>
      <x:c r="C114" s="26" t="str">
        <x:v>Bahsas</x:v>
      </x:c>
      <x:c r="D114" s="26" t="str">
        <x:v>Mataam Al Najjar Branch Thani</x:v>
      </x:c>
      <x:c r="E114" s="26" t="str">
        <x:v>Restaurant</x:v>
      </x:c>
      <x:c r="F114" s="26" t="str">
        <x:v>Listed current</x:v>
      </x:c>
      <x:c r="G114" s="26" t="str"/>
      <x:c r="H114" s="28"/>
      <x:c r="I114" s="30"/>
      <x:c r="J114" s="26" t="str"/>
      <x:c r="K114" s="26" t="str">
        <x:v>High</x:v>
      </x:c>
      <x:c r="L114" s="26" t="str">
        <x:v>Current Bahsas town listing</x:v>
      </x:c>
      <x:c r="M114" s="26" t="str">
        <x:v>https://wenrayhin.com/en/towns/bahsas/food_drink</x:v>
      </x:c>
      <x:c r="N114" s="26" t="str">
        <x:v>https://www.google.com/maps/search/?api=1&amp;query=Mataam+Al+Najjar+Branch+Thani%2C+Bahsas%2C+Lebanon</x:v>
      </x:c>
      <x:c r="O114" s="26" t="str"/>
      <x:c r="P114" s="26" t="str">
        <x:v>2026-09-08</x:v>
      </x:c>
    </x:row>
    <x:row r="115">
      <x:c r="A115" s="26" t="n">
        <x:v>114</x:v>
      </x:c>
      <x:c r="B115" s="26" t="str">
        <x:v>Tripoli</x:v>
      </x:c>
      <x:c r="C115" s="26" t="str">
        <x:v>Bahsas</x:v>
      </x:c>
      <x:c r="D115" s="26" t="str">
        <x:v>Matbakhi</x:v>
      </x:c>
      <x:c r="E115" s="26" t="str">
        <x:v>Restaurant</x:v>
      </x:c>
      <x:c r="F115" s="26" t="str">
        <x:v>Listed current</x:v>
      </x:c>
      <x:c r="G115" s="26" t="str"/>
      <x:c r="H115" s="28"/>
      <x:c r="I115" s="30"/>
      <x:c r="J115" s="26" t="str"/>
      <x:c r="K115" s="26" t="str">
        <x:v>High</x:v>
      </x:c>
      <x:c r="L115" s="26" t="str">
        <x:v>Current Bahsas town listing</x:v>
      </x:c>
      <x:c r="M115" s="26" t="str">
        <x:v>https://wenrayhin.com/en/towns/bahsas/food_drink</x:v>
      </x:c>
      <x:c r="N115" s="26" t="str">
        <x:v>https://www.google.com/maps/search/?api=1&amp;query=Matbakhi%2C+Bahsas%2C+Lebanon</x:v>
      </x:c>
      <x:c r="O115" s="26" t="str"/>
      <x:c r="P115" s="26" t="str">
        <x:v>2026-09-08</x:v>
      </x:c>
    </x:row>
    <x:row r="116">
      <x:c r="A116" s="26" t="n">
        <x:v>115</x:v>
      </x:c>
      <x:c r="B116" s="26" t="str">
        <x:v>Tripoli</x:v>
      </x:c>
      <x:c r="C116" s="26" t="str">
        <x:v>Bahsas</x:v>
      </x:c>
      <x:c r="D116" s="26" t="str">
        <x:v>Primos</x:v>
      </x:c>
      <x:c r="E116" s="26" t="str">
        <x:v>Breakfast</x:v>
      </x:c>
      <x:c r="F116" s="26" t="str">
        <x:v>Listed current</x:v>
      </x:c>
      <x:c r="G116" s="26" t="str"/>
      <x:c r="H116" s="28"/>
      <x:c r="I116" s="30"/>
      <x:c r="J116" s="26" t="str"/>
      <x:c r="K116" s="26" t="str">
        <x:v>High</x:v>
      </x:c>
      <x:c r="L116" s="26" t="str">
        <x:v>Current Bahsas town listing</x:v>
      </x:c>
      <x:c r="M116" s="26" t="str">
        <x:v>https://wenrayhin.com/en/towns/bahsas/food_drink</x:v>
      </x:c>
      <x:c r="N116" s="26" t="str">
        <x:v>https://www.google.com/maps/search/?api=1&amp;query=Primos%2C+Bahsas%2C+Lebanon</x:v>
      </x:c>
      <x:c r="O116" s="26" t="str"/>
      <x:c r="P116" s="26" t="str">
        <x:v>2026-09-08</x:v>
      </x:c>
    </x:row>
    <x:row r="117">
      <x:c r="A117" s="26" t="n">
        <x:v>116</x:v>
      </x:c>
      <x:c r="B117" s="26" t="str">
        <x:v>Tripoli</x:v>
      </x:c>
      <x:c r="C117" s="26" t="str">
        <x:v>Bahsas</x:v>
      </x:c>
      <x:c r="D117" s="26" t="str">
        <x:v>Ridani’s Restaurant Tripoli</x:v>
      </x:c>
      <x:c r="E117" s="26" t="str">
        <x:v>Restaurant</x:v>
      </x:c>
      <x:c r="F117" s="26" t="str">
        <x:v>Listed current</x:v>
      </x:c>
      <x:c r="G117" s="26" t="str"/>
      <x:c r="H117" s="28"/>
      <x:c r="I117" s="30"/>
      <x:c r="J117" s="26" t="str"/>
      <x:c r="K117" s="26" t="str">
        <x:v>High</x:v>
      </x:c>
      <x:c r="L117" s="26" t="str">
        <x:v>Current Bahsas town listing</x:v>
      </x:c>
      <x:c r="M117" s="26" t="str">
        <x:v>https://wenrayhin.com/en/towns/bahsas/food_drink</x:v>
      </x:c>
      <x:c r="N117" s="26" t="str">
        <x:v>https://www.google.com/maps/search/?api=1&amp;query=Ridani%E2%80%99s+Restaurant+Tripoli%2C+Bahsas%2C+Lebanon</x:v>
      </x:c>
      <x:c r="O117" s="26" t="str"/>
      <x:c r="P117" s="26" t="str">
        <x:v>2026-09-08</x:v>
      </x:c>
    </x:row>
    <x:row r="118">
      <x:c r="A118" s="26" t="n">
        <x:v>117</x:v>
      </x:c>
      <x:c r="B118" s="26" t="str">
        <x:v>Tripoli</x:v>
      </x:c>
      <x:c r="C118" s="26" t="str">
        <x:v>Bahsas</x:v>
      </x:c>
      <x:c r="D118" s="26" t="str">
        <x:v>The Cage</x:v>
      </x:c>
      <x:c r="E118" s="26" t="str">
        <x:v>Restaurant</x:v>
      </x:c>
      <x:c r="F118" s="26" t="str">
        <x:v>Listed current</x:v>
      </x:c>
      <x:c r="G118" s="26" t="str"/>
      <x:c r="H118" s="28"/>
      <x:c r="I118" s="30"/>
      <x:c r="J118" s="26" t="str"/>
      <x:c r="K118" s="26" t="str">
        <x:v>High</x:v>
      </x:c>
      <x:c r="L118" s="26" t="str">
        <x:v>Current Bahsas town listing</x:v>
      </x:c>
      <x:c r="M118" s="26" t="str">
        <x:v>https://wenrayhin.com/en/towns/bahsas/food_drink</x:v>
      </x:c>
      <x:c r="N118" s="26" t="str">
        <x:v>https://www.google.com/maps/search/?api=1&amp;query=The+Cage%2C+Bahsas%2C+Lebanon</x:v>
      </x:c>
      <x:c r="O118" s="26" t="str"/>
      <x:c r="P118" s="26" t="str">
        <x:v>2026-09-08</x:v>
      </x:c>
    </x:row>
    <x:row r="119">
      <x:c r="A119" s="26" t="n">
        <x:v>118</x:v>
      </x:c>
      <x:c r="B119" s="26" t="str">
        <x:v>Tripoli</x:v>
      </x:c>
      <x:c r="C119" s="26" t="str">
        <x:v>Bahsas</x:v>
      </x:c>
      <x:c r="D119" s="26" t="str">
        <x:v>Tranquilo Cuisine</x:v>
      </x:c>
      <x:c r="E119" s="26" t="str">
        <x:v>Restaurant</x:v>
      </x:c>
      <x:c r="F119" s="26" t="str">
        <x:v>Listed current</x:v>
      </x:c>
      <x:c r="G119" s="26" t="str"/>
      <x:c r="H119" s="28"/>
      <x:c r="I119" s="30"/>
      <x:c r="J119" s="26" t="str"/>
      <x:c r="K119" s="26" t="str">
        <x:v>High</x:v>
      </x:c>
      <x:c r="L119" s="26" t="str">
        <x:v>Current Bahsas town listing</x:v>
      </x:c>
      <x:c r="M119" s="26" t="str">
        <x:v>https://wenrayhin.com/en/towns/bahsas/food_drink</x:v>
      </x:c>
      <x:c r="N119" s="26" t="str">
        <x:v>https://www.google.com/maps/search/?api=1&amp;query=Tranquilo+Cuisine%2C+Bahsas%2C+Lebanon</x:v>
      </x:c>
      <x:c r="O119" s="26" t="str"/>
      <x:c r="P119" s="26" t="str">
        <x:v>2026-09-08</x:v>
      </x:c>
    </x:row>
    <x:row r="120">
      <x:c r="A120" s="26" t="n">
        <x:v>119</x:v>
      </x:c>
      <x:c r="B120" s="26" t="str">
        <x:v>Tripoli</x:v>
      </x:c>
      <x:c r="C120" s="26" t="str">
        <x:v>Bahsas</x:v>
      </x:c>
      <x:c r="D120" s="26" t="str">
        <x:v>Acai Corner</x:v>
      </x:c>
      <x:c r="E120" s="26" t="str">
        <x:v>Restaurant</x:v>
      </x:c>
      <x:c r="F120" s="26" t="str">
        <x:v>Listed current</x:v>
      </x:c>
      <x:c r="G120" s="26" t="str"/>
      <x:c r="H120" s="28"/>
      <x:c r="I120" s="30"/>
      <x:c r="J120" s="26" t="str"/>
      <x:c r="K120" s="26" t="str">
        <x:v>High</x:v>
      </x:c>
      <x:c r="L120" s="26" t="str">
        <x:v>Current Bahsas town listing</x:v>
      </x:c>
      <x:c r="M120" s="26" t="str">
        <x:v>https://wenrayhin.com/en/towns/bahsas/food_drink</x:v>
      </x:c>
      <x:c r="N120" s="26" t="str">
        <x:v>https://www.google.com/maps/search/?api=1&amp;query=Acai+Corner%2C+Bahsas%2C+Lebanon</x:v>
      </x:c>
      <x:c r="O120" s="26" t="str"/>
      <x:c r="P120" s="26" t="str">
        <x:v>2026-09-08</x:v>
      </x:c>
    </x:row>
    <x:row r="121">
      <x:c r="A121" s="26" t="n">
        <x:v>120</x:v>
      </x:c>
      <x:c r="B121" s="26" t="str">
        <x:v>Tripoli</x:v>
      </x:c>
      <x:c r="C121" s="26" t="str">
        <x:v>Bahsas</x:v>
      </x:c>
      <x:c r="D121" s="26" t="str">
        <x:v>Acaishop</x:v>
      </x:c>
      <x:c r="E121" s="26" t="str">
        <x:v>Restaurant</x:v>
      </x:c>
      <x:c r="F121" s="26" t="str">
        <x:v>Listed current</x:v>
      </x:c>
      <x:c r="G121" s="26" t="str"/>
      <x:c r="H121" s="28"/>
      <x:c r="I121" s="30"/>
      <x:c r="J121" s="26" t="str"/>
      <x:c r="K121" s="26" t="str">
        <x:v>High</x:v>
      </x:c>
      <x:c r="L121" s="26" t="str">
        <x:v>Current Bahsas town listing</x:v>
      </x:c>
      <x:c r="M121" s="26" t="str">
        <x:v>https://wenrayhin.com/en/towns/bahsas/food_drink</x:v>
      </x:c>
      <x:c r="N121" s="26" t="str">
        <x:v>https://www.google.com/maps/search/?api=1&amp;query=Acaishop%2C+Bahsas%2C+Lebanon</x:v>
      </x:c>
      <x:c r="O121" s="26" t="str"/>
      <x:c r="P121" s="26" t="str">
        <x:v>2026-09-08</x:v>
      </x:c>
    </x:row>
    <x:row r="122">
      <x:c r="A122" s="26" t="n">
        <x:v>121</x:v>
      </x:c>
      <x:c r="B122" s="26" t="str">
        <x:v>Tripoli</x:v>
      </x:c>
      <x:c r="C122" s="26" t="str">
        <x:v>Bahsas</x:v>
      </x:c>
      <x:c r="D122" s="26" t="str">
        <x:v>Cheese on Top - Tripoli</x:v>
      </x:c>
      <x:c r="E122" s="26" t="str">
        <x:v>Restaurant</x:v>
      </x:c>
      <x:c r="F122" s="26" t="str">
        <x:v>Listed current</x:v>
      </x:c>
      <x:c r="G122" s="26" t="str"/>
      <x:c r="H122" s="28"/>
      <x:c r="I122" s="30"/>
      <x:c r="J122" s="26" t="str"/>
      <x:c r="K122" s="26" t="str">
        <x:v>High</x:v>
      </x:c>
      <x:c r="L122" s="26" t="str">
        <x:v>Current Bahsas town listing</x:v>
      </x:c>
      <x:c r="M122" s="26" t="str">
        <x:v>https://wenrayhin.com/en/towns/bahsas/food_drink</x:v>
      </x:c>
      <x:c r="N122" s="26" t="str">
        <x:v>https://www.google.com/maps/search/?api=1&amp;query=Cheese+on+Top+-+Tripoli%2C+Bahsas%2C+Lebanon</x:v>
      </x:c>
      <x:c r="O122" s="26" t="str"/>
      <x:c r="P122" s="26" t="str">
        <x:v>2026-09-08</x:v>
      </x:c>
    </x:row>
    <x:row r="123">
      <x:c r="A123" s="26" t="n">
        <x:v>122</x:v>
      </x:c>
      <x:c r="B123" s="26" t="str">
        <x:v>Tripoli</x:v>
      </x:c>
      <x:c r="C123" s="26" t="str">
        <x:v>Bahsas</x:v>
      </x:c>
      <x:c r="D123" s="26" t="str">
        <x:v>Crop</x:v>
      </x:c>
      <x:c r="E123" s="26" t="str">
        <x:v>Restaurant</x:v>
      </x:c>
      <x:c r="F123" s="26" t="str">
        <x:v>Listed current</x:v>
      </x:c>
      <x:c r="G123" s="26" t="str"/>
      <x:c r="H123" s="28"/>
      <x:c r="I123" s="30"/>
      <x:c r="J123" s="26" t="str"/>
      <x:c r="K123" s="26" t="str">
        <x:v>High</x:v>
      </x:c>
      <x:c r="L123" s="26" t="str">
        <x:v>Current Bahsas town listing</x:v>
      </x:c>
      <x:c r="M123" s="26" t="str">
        <x:v>https://wenrayhin.com/en/towns/bahsas/food_drink</x:v>
      </x:c>
      <x:c r="N123" s="26" t="str">
        <x:v>https://www.google.com/maps/search/?api=1&amp;query=Crop%2C+Bahsas%2C+Lebanon</x:v>
      </x:c>
      <x:c r="O123" s="26" t="str"/>
      <x:c r="P123" s="26" t="str">
        <x:v>2026-09-08</x:v>
      </x:c>
    </x:row>
    <x:row r="124">
      <x:c r="A124" s="26" t="n">
        <x:v>123</x:v>
      </x:c>
      <x:c r="B124" s="26" t="str">
        <x:v>Tripoli</x:v>
      </x:c>
      <x:c r="C124" s="26" t="str">
        <x:v>Bahsas</x:v>
      </x:c>
      <x:c r="D124" s="26" t="str">
        <x:v>Le Poissonnier</x:v>
      </x:c>
      <x:c r="E124" s="26" t="str">
        <x:v>Seafood</x:v>
      </x:c>
      <x:c r="F124" s="26" t="str">
        <x:v>Listed current</x:v>
      </x:c>
      <x:c r="G124" s="26" t="str"/>
      <x:c r="H124" s="28"/>
      <x:c r="I124" s="30"/>
      <x:c r="J124" s="26" t="str"/>
      <x:c r="K124" s="26" t="str">
        <x:v>High</x:v>
      </x:c>
      <x:c r="L124" s="26" t="str">
        <x:v>Current Bahsas town listing</x:v>
      </x:c>
      <x:c r="M124" s="26" t="str">
        <x:v>https://wenrayhin.com/en/towns/bahsas/food_drink</x:v>
      </x:c>
      <x:c r="N124" s="26" t="str">
        <x:v>https://www.google.com/maps/search/?api=1&amp;query=Le+Poissonnier%2C+Bahsas%2C+Lebanon</x:v>
      </x:c>
      <x:c r="O124" s="26" t="str"/>
      <x:c r="P124" s="26" t="str">
        <x:v>2026-09-08</x:v>
      </x:c>
    </x:row>
    <x:row r="125">
      <x:c r="A125" s="26" t="n">
        <x:v>124</x:v>
      </x:c>
      <x:c r="B125" s="26" t="str">
        <x:v>Tripoli</x:v>
      </x:c>
      <x:c r="C125" s="26" t="str">
        <x:v>Bahsas</x:v>
      </x:c>
      <x:c r="D125" s="26" t="str">
        <x:v>Pasta w Nos</x:v>
      </x:c>
      <x:c r="E125" s="26" t="str">
        <x:v>Pasta restaurant</x:v>
      </x:c>
      <x:c r="F125" s="26" t="str">
        <x:v>Listed current</x:v>
      </x:c>
      <x:c r="G125" s="26" t="str"/>
      <x:c r="H125" s="28"/>
      <x:c r="I125" s="30"/>
      <x:c r="J125" s="26" t="str"/>
      <x:c r="K125" s="26" t="str">
        <x:v>High</x:v>
      </x:c>
      <x:c r="L125" s="26" t="str">
        <x:v>Current Bahsas town listing</x:v>
      </x:c>
      <x:c r="M125" s="26" t="str">
        <x:v>https://wenrayhin.com/en/towns/bahsas/food_drink</x:v>
      </x:c>
      <x:c r="N125" s="26" t="str">
        <x:v>https://www.google.com/maps/search/?api=1&amp;query=Pasta+w+Nos%2C+Bahsas%2C+Lebanon</x:v>
      </x:c>
      <x:c r="O125" s="26" t="str"/>
      <x:c r="P125" s="26" t="str">
        <x:v>2026-09-08</x:v>
      </x:c>
    </x:row>
    <x:row r="126">
      <x:c r="A126" s="26" t="n">
        <x:v>125</x:v>
      </x:c>
      <x:c r="B126" s="26" t="str">
        <x:v>Tripoli</x:v>
      </x:c>
      <x:c r="C126" s="26" t="str">
        <x:v>Bahsas</x:v>
      </x:c>
      <x:c r="D126" s="26" t="str">
        <x:v>Tanour Bait Jedde</x:v>
      </x:c>
      <x:c r="E126" s="26" t="str">
        <x:v>Restaurant</x:v>
      </x:c>
      <x:c r="F126" s="26" t="str">
        <x:v>Listed current</x:v>
      </x:c>
      <x:c r="G126" s="26" t="str"/>
      <x:c r="H126" s="28"/>
      <x:c r="I126" s="30"/>
      <x:c r="J126" s="26" t="str"/>
      <x:c r="K126" s="26" t="str">
        <x:v>High</x:v>
      </x:c>
      <x:c r="L126" s="26" t="str">
        <x:v>Current Bahsas town listing</x:v>
      </x:c>
      <x:c r="M126" s="26" t="str">
        <x:v>https://wenrayhin.com/en/towns/bahsas/food_drink</x:v>
      </x:c>
      <x:c r="N126" s="26" t="str">
        <x:v>https://www.google.com/maps/search/?api=1&amp;query=Tanour+Bait+Jedde%2C+Bahsas%2C+Lebanon</x:v>
      </x:c>
      <x:c r="O126" s="26" t="str"/>
      <x:c r="P126" s="26" t="str">
        <x:v>2026-09-08</x:v>
      </x:c>
    </x:row>
    <x:row r="127">
      <x:c r="A127" s="26" t="n">
        <x:v>126</x:v>
      </x:c>
      <x:c r="B127" s="26" t="str">
        <x:v>Tripoli</x:v>
      </x:c>
      <x:c r="C127" s="26" t="str">
        <x:v>Bahsas</x:v>
      </x:c>
      <x:c r="D127" s="26" t="str">
        <x:v>Tayba Butcher Shop and Restaurant</x:v>
      </x:c>
      <x:c r="E127" s="26" t="str">
        <x:v>Butcher / grills</x:v>
      </x:c>
      <x:c r="F127" s="26" t="str">
        <x:v>Listed current</x:v>
      </x:c>
      <x:c r="G127" s="26" t="str"/>
      <x:c r="H127" s="28"/>
      <x:c r="I127" s="30"/>
      <x:c r="J127" s="26" t="str"/>
      <x:c r="K127" s="26" t="str">
        <x:v>High</x:v>
      </x:c>
      <x:c r="L127" s="26" t="str">
        <x:v>Current Bahsas town listing</x:v>
      </x:c>
      <x:c r="M127" s="26" t="str">
        <x:v>https://wenrayhin.com/en/towns/bahsas/food_drink</x:v>
      </x:c>
      <x:c r="N127" s="26" t="str">
        <x:v>https://www.google.com/maps/search/?api=1&amp;query=Tayba+Butcher+Shop+and+Restaurant%2C+Bahsas%2C+Lebanon</x:v>
      </x:c>
      <x:c r="O127" s="26" t="str"/>
      <x:c r="P127" s="26" t="str">
        <x:v>2026-09-08</x:v>
      </x:c>
    </x:row>
    <x:row r="128">
      <x:c r="A128" s="26" t="n">
        <x:v>127</x:v>
      </x:c>
      <x:c r="B128" s="26" t="str">
        <x:v>Ehden</x:v>
      </x:c>
      <x:c r="C128" s="26" t="str">
        <x:v>Ehden</x:v>
      </x:c>
      <x:c r="D128" s="26" t="str">
        <x:v>Al Ferdaws Restaurant</x:v>
      </x:c>
      <x:c r="E128" s="26" t="str">
        <x:v>Lebanese / Mediterranean</x:v>
      </x:c>
      <x:c r="F128" s="26" t="str">
        <x:v>Listed current</x:v>
      </x:c>
      <x:c r="G128" s="26" t="str"/>
      <x:c r="H128" s="28" t="n">
        <x:v>3.3</x:v>
      </x:c>
      <x:c r="I128" s="30" t="n">
        <x:v>107</x:v>
      </x:c>
      <x:c r="J128" s="26" t="str"/>
      <x:c r="K128" s="26" t="str">
        <x:v>High</x:v>
      </x:c>
      <x:c r="L128" s="26" t="str">
        <x:v>Current Ehden listing</x:v>
      </x:c>
      <x:c r="M128" s="26" t="str">
        <x:v>https://wenrayhin.com/en/towns/ehden</x:v>
      </x:c>
      <x:c r="N128" s="26" t="str">
        <x:v>https://www.google.com/maps/search/?api=1&amp;query=Al+Ferdaws+Restaurant%2C+Ehden%2C+Lebanon</x:v>
      </x:c>
      <x:c r="O128" s="26" t="str"/>
      <x:c r="P128" s="26" t="str">
        <x:v>2026-09-08</x:v>
      </x:c>
    </x:row>
    <x:row r="129">
      <x:c r="A129" s="26" t="n">
        <x:v>128</x:v>
      </x:c>
      <x:c r="B129" s="26" t="str">
        <x:v>Ehden</x:v>
      </x:c>
      <x:c r="C129" s="26" t="str">
        <x:v>Ehden</x:v>
      </x:c>
      <x:c r="D129" s="26" t="str">
        <x:v>Bab El Hawa</x:v>
      </x:c>
      <x:c r="E129" s="26" t="str">
        <x:v>Restaurant</x:v>
      </x:c>
      <x:c r="F129" s="26" t="str">
        <x:v>Listed current</x:v>
      </x:c>
      <x:c r="G129" s="26" t="str">
        <x:v>+961 3 456 047</x:v>
      </x:c>
      <x:c r="H129" s="28"/>
      <x:c r="I129" s="30"/>
      <x:c r="J129" s="26" t="str">
        <x:v>13:00-23:30 daily</x:v>
      </x:c>
      <x:c r="K129" s="26" t="str">
        <x:v>High</x:v>
      </x:c>
      <x:c r="L129" s="26" t="str">
        <x:v>Current Ehden listing</x:v>
      </x:c>
      <x:c r="M129" s="26" t="str">
        <x:v>https://wenrayhin.com/en/places/bab-el-hawa</x:v>
      </x:c>
      <x:c r="N129" s="26" t="str">
        <x:v>https://www.google.com/maps/search/?api=1&amp;query=Bab+El+Hawa%2C+Ehden%2C+Lebanon</x:v>
      </x:c>
      <x:c r="O129" s="26" t="str"/>
      <x:c r="P129" s="26" t="str">
        <x:v>2026-09-08</x:v>
      </x:c>
    </x:row>
    <x:row r="130">
      <x:c r="A130" s="26" t="n">
        <x:v>129</x:v>
      </x:c>
      <x:c r="B130" s="26" t="str">
        <x:v>Ehden</x:v>
      </x:c>
      <x:c r="C130" s="26" t="str">
        <x:v>Ehden</x:v>
      </x:c>
      <x:c r="D130" s="26" t="str">
        <x:v>Bamboo Asian Cuisine - Ehden</x:v>
      </x:c>
      <x:c r="E130" s="26" t="str">
        <x:v>Asian</x:v>
      </x:c>
      <x:c r="F130" s="26" t="str">
        <x:v>Listed current</x:v>
      </x:c>
      <x:c r="G130" s="26" t="str"/>
      <x:c r="H130" s="28" t="n">
        <x:v>5</x:v>
      </x:c>
      <x:c r="I130" s="30" t="n">
        <x:v>1</x:v>
      </x:c>
      <x:c r="J130" s="26" t="str"/>
      <x:c r="K130" s="26" t="str">
        <x:v>High</x:v>
      </x:c>
      <x:c r="L130" s="26" t="str">
        <x:v>Current Ehden listing</x:v>
      </x:c>
      <x:c r="M130" s="26" t="str">
        <x:v>https://wenrayhin.com/en/towns/ehden</x:v>
      </x:c>
      <x:c r="N130" s="26" t="str">
        <x:v>https://www.google.com/maps/search/?api=1&amp;query=Bamboo+Asian+Cuisine+-+Ehden%2C+Ehden%2C+Lebanon</x:v>
      </x:c>
      <x:c r="O130" s="26" t="str"/>
      <x:c r="P130" s="26" t="str">
        <x:v>2026-09-08</x:v>
      </x:c>
    </x:row>
    <x:row r="131">
      <x:c r="A131" s="26" t="n">
        <x:v>130</x:v>
      </x:c>
      <x:c r="B131" s="26" t="str">
        <x:v>Ehden</x:v>
      </x:c>
      <x:c r="C131" s="26" t="str">
        <x:v>Ehden</x:v>
      </x:c>
      <x:c r="D131" s="26" t="str">
        <x:v>Bayt Setti</x:v>
      </x:c>
      <x:c r="E131" s="26" t="str">
        <x:v>Lebanese / family restaurant</x:v>
      </x:c>
      <x:c r="F131" s="26" t="str">
        <x:v>Listed current</x:v>
      </x:c>
      <x:c r="G131" s="26" t="str">
        <x:v>+961 81 428 528</x:v>
      </x:c>
      <x:c r="H131" s="28"/>
      <x:c r="I131" s="30"/>
      <x:c r="J131" s="26" t="str">
        <x:v>11:30-01:00; Sun from 11:00</x:v>
      </x:c>
      <x:c r="K131" s="26" t="str">
        <x:v>High</x:v>
      </x:c>
      <x:c r="L131" s="26" t="str">
        <x:v>Current Ehden listing</x:v>
      </x:c>
      <x:c r="M131" s="26" t="str">
        <x:v>https://www.foodyas.com/LB/Ehden/1842323992696555/%D8%A8%D9%8A%D8%AA-%D8%B3%D8%AA%D9%91%D9%8A---%D9%85%D8%B7%D8%B9%D9%85-%D8%A5%D9%87%D8%AF%D9%86%D9%8A</x:v>
      </x:c>
      <x:c r="N131" s="26" t="str">
        <x:v>https://www.google.com/maps/search/?api=1&amp;query=Bayt+Setti%2C+Ehden%2C+Lebanon</x:v>
      </x:c>
      <x:c r="O131" s="26" t="str"/>
      <x:c r="P131" s="26" t="str">
        <x:v>2026-09-08</x:v>
      </x:c>
    </x:row>
    <x:row r="132">
      <x:c r="A132" s="26" t="n">
        <x:v>131</x:v>
      </x:c>
      <x:c r="B132" s="26" t="str">
        <x:v>Ehden</x:v>
      </x:c>
      <x:c r="C132" s="26" t="str">
        <x:v>Ehden</x:v>
      </x:c>
      <x:c r="D132" s="26" t="str">
        <x:v>Beit Abou Johnny Guesthouse and Restaurant</x:v>
      </x:c>
      <x:c r="E132" s="26" t="str">
        <x:v>Restaurant</x:v>
      </x:c>
      <x:c r="F132" s="26" t="str">
        <x:v>Listed current</x:v>
      </x:c>
      <x:c r="G132" s="26" t="str"/>
      <x:c r="H132" s="28"/>
      <x:c r="I132" s="30"/>
      <x:c r="J132" s="26" t="str"/>
      <x:c r="K132" s="26" t="str">
        <x:v>High</x:v>
      </x:c>
      <x:c r="L132" s="26" t="str">
        <x:v>Current Ehden listing</x:v>
      </x:c>
      <x:c r="M132" s="26" t="str">
        <x:v>https://wenrayhin.com/en/towns/ehden</x:v>
      </x:c>
      <x:c r="N132" s="26" t="str">
        <x:v>https://www.google.com/maps/search/?api=1&amp;query=Beit+Abou+Johnny+Guesthouse+and+Restaurant%2C+Ehden%2C+Lebanon</x:v>
      </x:c>
      <x:c r="O132" s="26" t="str"/>
      <x:c r="P132" s="26" t="str">
        <x:v>2026-09-08</x:v>
      </x:c>
    </x:row>
    <x:row r="133">
      <x:c r="A133" s="26" t="n">
        <x:v>132</x:v>
      </x:c>
      <x:c r="B133" s="26" t="str">
        <x:v>Ehden</x:v>
      </x:c>
      <x:c r="C133" s="26" t="str">
        <x:v>Ehden</x:v>
      </x:c>
      <x:c r="D133" s="26" t="str">
        <x:v>EDENBERG</x:v>
      </x:c>
      <x:c r="E133" s="26" t="str">
        <x:v>American</x:v>
      </x:c>
      <x:c r="F133" s="26" t="str">
        <x:v>Listed current</x:v>
      </x:c>
      <x:c r="G133" s="26" t="str"/>
      <x:c r="H133" s="28"/>
      <x:c r="I133" s="30"/>
      <x:c r="J133" s="26" t="str"/>
      <x:c r="K133" s="26" t="str">
        <x:v>High</x:v>
      </x:c>
      <x:c r="L133" s="26" t="str">
        <x:v>Current Ehden listing</x:v>
      </x:c>
      <x:c r="M133" s="26" t="str">
        <x:v>https://wenrayhin.com/en/towns/ehden</x:v>
      </x:c>
      <x:c r="N133" s="26" t="str">
        <x:v>https://www.google.com/maps/search/?api=1&amp;query=EDENBERG%2C+Ehden%2C+Lebanon</x:v>
      </x:c>
      <x:c r="O133" s="26" t="str"/>
      <x:c r="P133" s="26" t="str">
        <x:v>2026-09-08</x:v>
      </x:c>
    </x:row>
    <x:row r="134">
      <x:c r="A134" s="26" t="n">
        <x:v>133</x:v>
      </x:c>
      <x:c r="B134" s="26" t="str">
        <x:v>Ehden</x:v>
      </x:c>
      <x:c r="C134" s="26" t="str">
        <x:v>Ehden</x:v>
      </x:c>
      <x:c r="D134" s="26" t="str">
        <x:v>HiDen Village</x:v>
      </x:c>
      <x:c r="E134" s="26" t="str">
        <x:v>Restaurant</x:v>
      </x:c>
      <x:c r="F134" s="26" t="str">
        <x:v>Listed current</x:v>
      </x:c>
      <x:c r="G134" s="26" t="str">
        <x:v>+961 76 453 153</x:v>
      </x:c>
      <x:c r="H134" s="28"/>
      <x:c r="I134" s="30"/>
      <x:c r="J134" s="26" t="str">
        <x:v>18:00-01:00; Fri-Sat to 03:00</x:v>
      </x:c>
      <x:c r="K134" s="26" t="str">
        <x:v>High</x:v>
      </x:c>
      <x:c r="L134" s="26" t="str">
        <x:v>Current Ehden listing</x:v>
      </x:c>
      <x:c r="M134" s="26" t="str">
        <x:v>https://wenrayhin.com/en/places/hiden-village-ehden</x:v>
      </x:c>
      <x:c r="N134" s="26" t="str">
        <x:v>https://www.google.com/maps/search/?api=1&amp;query=HiDen+Village%2C+Ehden%2C+Lebanon</x:v>
      </x:c>
      <x:c r="O134" s="26" t="str"/>
      <x:c r="P134" s="26" t="str">
        <x:v>2026-09-08</x:v>
      </x:c>
    </x:row>
    <x:row r="135">
      <x:c r="A135" s="26" t="n">
        <x:v>134</x:v>
      </x:c>
      <x:c r="B135" s="26" t="str">
        <x:v>Ehden</x:v>
      </x:c>
      <x:c r="C135" s="26" t="str">
        <x:v>Ehden</x:v>
      </x:c>
      <x:c r="D135" s="26" t="str">
        <x:v>Jalset Al Sayyad</x:v>
      </x:c>
      <x:c r="E135" s="26" t="str">
        <x:v>Traditional Lebanese</x:v>
      </x:c>
      <x:c r="F135" s="26" t="str">
        <x:v>Listed current</x:v>
      </x:c>
      <x:c r="G135" s="26" t="str"/>
      <x:c r="H135" s="28"/>
      <x:c r="I135" s="30"/>
      <x:c r="J135" s="26" t="str"/>
      <x:c r="K135" s="26" t="str">
        <x:v>High</x:v>
      </x:c>
      <x:c r="L135" s="26" t="str">
        <x:v>Current Ehden listing</x:v>
      </x:c>
      <x:c r="M135" s="26" t="str">
        <x:v>https://wenrayhin.com/en/towns/ehden</x:v>
      </x:c>
      <x:c r="N135" s="26" t="str">
        <x:v>https://www.google.com/maps/search/?api=1&amp;query=Jalset+Al+Sayyad%2C+Ehden%2C+Lebanon</x:v>
      </x:c>
      <x:c r="O135" s="26" t="str"/>
      <x:c r="P135" s="26" t="str">
        <x:v>2026-09-08</x:v>
      </x:c>
    </x:row>
    <x:row r="136">
      <x:c r="A136" s="26" t="n">
        <x:v>135</x:v>
      </x:c>
      <x:c r="B136" s="26" t="str">
        <x:v>Ehden</x:v>
      </x:c>
      <x:c r="C136" s="26" t="str">
        <x:v>Ehden</x:v>
      </x:c>
      <x:c r="D136" s="26" t="str">
        <x:v>Mataam Aden</x:v>
      </x:c>
      <x:c r="E136" s="26" t="str">
        <x:v>Restaurant</x:v>
      </x:c>
      <x:c r="F136" s="26" t="str">
        <x:v>Listed current</x:v>
      </x:c>
      <x:c r="G136" s="26" t="str"/>
      <x:c r="H136" s="28"/>
      <x:c r="I136" s="30"/>
      <x:c r="J136" s="26" t="str"/>
      <x:c r="K136" s="26" t="str">
        <x:v>High</x:v>
      </x:c>
      <x:c r="L136" s="26" t="str">
        <x:v>Current Ehden listing</x:v>
      </x:c>
      <x:c r="M136" s="26" t="str">
        <x:v>https://wenrayhin.com/en/towns/ehden</x:v>
      </x:c>
      <x:c r="N136" s="26" t="str">
        <x:v>https://www.google.com/maps/search/?api=1&amp;query=Mataam+Aden%2C+Ehden%2C+Lebanon</x:v>
      </x:c>
      <x:c r="O136" s="26" t="str"/>
      <x:c r="P136" s="26" t="str">
        <x:v>2026-09-08</x:v>
      </x:c>
    </x:row>
    <x:row r="137">
      <x:c r="A137" s="26" t="n">
        <x:v>136</x:v>
      </x:c>
      <x:c r="B137" s="26" t="str">
        <x:v>Ehden</x:v>
      </x:c>
      <x:c r="C137" s="26" t="str">
        <x:v>Ehden</x:v>
      </x:c>
      <x:c r="D137" s="26" t="str">
        <x:v>My Friends - Ehden</x:v>
      </x:c>
      <x:c r="E137" s="26" t="str">
        <x:v>Restaurant</x:v>
      </x:c>
      <x:c r="F137" s="26" t="str">
        <x:v>Listed current</x:v>
      </x:c>
      <x:c r="G137" s="26" t="str">
        <x:v>+961 3 251 582</x:v>
      </x:c>
      <x:c r="H137" s="28"/>
      <x:c r="I137" s="30"/>
      <x:c r="J137" s="26" t="str">
        <x:v>12:00-00:00 daily</x:v>
      </x:c>
      <x:c r="K137" s="26" t="str">
        <x:v>High</x:v>
      </x:c>
      <x:c r="L137" s="26" t="str">
        <x:v>Current Ehden listing</x:v>
      </x:c>
      <x:c r="M137" s="26" t="str">
        <x:v>https://wenrayhin.com/en/places/my-friends-ehden-ehden</x:v>
      </x:c>
      <x:c r="N137" s="26" t="str">
        <x:v>https://www.google.com/maps/search/?api=1&amp;query=My+Friends+-+Ehden%2C+Ehden%2C+Lebanon</x:v>
      </x:c>
      <x:c r="O137" s="26" t="str"/>
      <x:c r="P137" s="26" t="str">
        <x:v>2026-09-08</x:v>
      </x:c>
    </x:row>
    <x:row r="138">
      <x:c r="A138" s="26" t="n">
        <x:v>137</x:v>
      </x:c>
      <x:c r="B138" s="26" t="str">
        <x:v>Ehden</x:v>
      </x:c>
      <x:c r="C138" s="26" t="str">
        <x:v>Ehden</x:v>
      </x:c>
      <x:c r="D138" s="26" t="str">
        <x:v>Sama Ehden Park</x:v>
      </x:c>
      <x:c r="E138" s="26" t="str">
        <x:v>Restaurant</x:v>
      </x:c>
      <x:c r="F138" s="26" t="str">
        <x:v>Listed current</x:v>
      </x:c>
      <x:c r="G138" s="26" t="str"/>
      <x:c r="H138" s="28"/>
      <x:c r="I138" s="30"/>
      <x:c r="J138" s="26" t="str"/>
      <x:c r="K138" s="26" t="str">
        <x:v>High</x:v>
      </x:c>
      <x:c r="L138" s="26" t="str">
        <x:v>Current Ehden listing</x:v>
      </x:c>
      <x:c r="M138" s="26" t="str">
        <x:v>https://wenrayhin.com/en/towns/ehden</x:v>
      </x:c>
      <x:c r="N138" s="26" t="str">
        <x:v>https://www.google.com/maps/search/?api=1&amp;query=Sama+Ehden+Park%2C+Ehden%2C+Lebanon</x:v>
      </x:c>
      <x:c r="O138" s="26" t="str"/>
      <x:c r="P138" s="26" t="str">
        <x:v>2026-09-08</x:v>
      </x:c>
    </x:row>
    <x:row r="139">
      <x:c r="A139" s="26" t="n">
        <x:v>138</x:v>
      </x:c>
      <x:c r="B139" s="26" t="str">
        <x:v>Ehden</x:v>
      </x:c>
      <x:c r="C139" s="26" t="str">
        <x:v>Ehden</x:v>
      </x:c>
      <x:c r="D139" s="26" t="str">
        <x:v>Whitesmoke Restaurant</x:v>
      </x:c>
      <x:c r="E139" s="26" t="str">
        <x:v>Steakhouse / Lebanese</x:v>
      </x:c>
      <x:c r="F139" s="26" t="str">
        <x:v>Listed current</x:v>
      </x:c>
      <x:c r="G139" s="26" t="str"/>
      <x:c r="H139" s="28" t="n">
        <x:v>5</x:v>
      </x:c>
      <x:c r="I139" s="30" t="n">
        <x:v>1</x:v>
      </x:c>
      <x:c r="J139" s="26" t="str"/>
      <x:c r="K139" s="26" t="str">
        <x:v>Medium</x:v>
      </x:c>
      <x:c r="L139" s="26" t="str">
        <x:v>Tripadvisor Ehden 2026 listing</x:v>
      </x:c>
      <x:c r="M139" s="26" t="str">
        <x:v>https://www.tripadvisor.com/Restaurants-g1858121-Ehden_North_Governorate.html</x:v>
      </x:c>
      <x:c r="N139" s="26" t="str">
        <x:v>https://www.google.com/maps/search/?api=1&amp;query=Whitesmoke+Restaurant%2C+Ehden%2C+Lebanon</x:v>
      </x:c>
      <x:c r="O139" s="26" t="str"/>
      <x:c r="P139" s="26" t="str">
        <x:v>2026-09-08</x:v>
      </x:c>
    </x:row>
    <x:row r="140">
      <x:c r="A140" s="26" t="n">
        <x:v>139</x:v>
      </x:c>
      <x:c r="B140" s="26" t="str">
        <x:v>Ehden</x:v>
      </x:c>
      <x:c r="C140" s="26" t="str">
        <x:v>Ehden</x:v>
      </x:c>
      <x:c r="D140" s="26" t="str">
        <x:v>Adan Ehden</x:v>
      </x:c>
      <x:c r="E140" s="26" t="str">
        <x:v>Lebanese / Mediterranean</x:v>
      </x:c>
      <x:c r="F140" s="26" t="str">
        <x:v>Listed current</x:v>
      </x:c>
      <x:c r="G140" s="26" t="str"/>
      <x:c r="H140" s="28"/>
      <x:c r="I140" s="30"/>
      <x:c r="J140" s="26" t="str"/>
      <x:c r="K140" s="26" t="str">
        <x:v>Medium</x:v>
      </x:c>
      <x:c r="L140" s="26" t="str">
        <x:v>Tripadvisor Ehden 2026 listing</x:v>
      </x:c>
      <x:c r="M140" s="26" t="str">
        <x:v>https://www.tripadvisor.com/Restaurants-g1858121-Ehden_North_Governorate.html</x:v>
      </x:c>
      <x:c r="N140" s="26" t="str">
        <x:v>https://www.google.com/maps/search/?api=1&amp;query=Adan+Ehden%2C+Ehden%2C+Lebanon</x:v>
      </x:c>
      <x:c r="O140" s="26" t="str"/>
      <x:c r="P140" s="26" t="str">
        <x:v>2026-09-08</x:v>
      </x:c>
    </x:row>
    <x:row r="141">
      <x:c r="A141" s="26" t="n">
        <x:v>140</x:v>
      </x:c>
      <x:c r="B141" s="26" t="str">
        <x:v>Ehden</x:v>
      </x:c>
      <x:c r="C141" s="26" t="str">
        <x:v>Ehden</x:v>
      </x:c>
      <x:c r="D141" s="26" t="str">
        <x:v>Diwan Al Mezza</x:v>
      </x:c>
      <x:c r="E141" s="26" t="str">
        <x:v>Lebanese mezza</x:v>
      </x:c>
      <x:c r="F141" s="26" t="str">
        <x:v>Listed current</x:v>
      </x:c>
      <x:c r="G141" s="26" t="str"/>
      <x:c r="H141" s="28"/>
      <x:c r="I141" s="30"/>
      <x:c r="J141" s="26" t="str"/>
      <x:c r="K141" s="26" t="str">
        <x:v>Medium</x:v>
      </x:c>
      <x:c r="L141" s="26" t="str">
        <x:v>Tripadvisor Ehden 2026 listing</x:v>
      </x:c>
      <x:c r="M141" s="26" t="str">
        <x:v>https://www.tripadvisor.com/Restaurants-g1858121-Ehden_North_Governorate.html</x:v>
      </x:c>
      <x:c r="N141" s="26" t="str">
        <x:v>https://www.google.com/maps/search/?api=1&amp;query=Diwan+Al+Mezza%2C+Ehden%2C+Lebanon</x:v>
      </x:c>
      <x:c r="O141" s="26" t="str"/>
      <x:c r="P141" s="26" t="str">
        <x:v>2026-09-08</x:v>
      </x:c>
    </x:row>
    <x:row r="142">
      <x:c r="A142" s="26" t="n">
        <x:v>141</x:v>
      </x:c>
      <x:c r="B142" s="26" t="str">
        <x:v>Ehden</x:v>
      </x:c>
      <x:c r="C142" s="26" t="str">
        <x:v>Ehden</x:v>
      </x:c>
      <x:c r="D142" s="26" t="str">
        <x:v>Bistro by Bayt Setti</x:v>
      </x:c>
      <x:c r="E142" s="26" t="str">
        <x:v>Restaurant</x:v>
      </x:c>
      <x:c r="F142" s="26" t="str">
        <x:v>Listed current</x:v>
      </x:c>
      <x:c r="G142" s="26" t="str"/>
      <x:c r="H142" s="28"/>
      <x:c r="I142" s="30"/>
      <x:c r="J142" s="26" t="str"/>
      <x:c r="K142" s="26" t="str">
        <x:v>High</x:v>
      </x:c>
      <x:c r="L142" s="26" t="str">
        <x:v>Current Ehden listing</x:v>
      </x:c>
      <x:c r="M142" s="26" t="str">
        <x:v>https://visitehden.com/bistro-by-bayt-setti/</x:v>
      </x:c>
      <x:c r="N142" s="26" t="str">
        <x:v>https://www.google.com/maps/search/?api=1&amp;query=Bistro+by+Bayt+Setti%2C+Ehden%2C+Lebanon</x:v>
      </x:c>
      <x:c r="O142" s="26" t="str"/>
      <x:c r="P142" s="26" t="str">
        <x:v>2026-09-08</x:v>
      </x:c>
    </x:row>
    <x:row r="143">
      <x:c r="A143" s="26" t="n">
        <x:v>142</x:v>
      </x:c>
      <x:c r="B143" s="26" t="str">
        <x:v>Ehden</x:v>
      </x:c>
      <x:c r="C143" s="26" t="str">
        <x:v>Ehden</x:v>
      </x:c>
      <x:c r="D143" s="26" t="str">
        <x:v>Al Salamanki</x:v>
      </x:c>
      <x:c r="E143" s="26" t="str">
        <x:v>Lebanese restaurant</x:v>
      </x:c>
      <x:c r="F143" s="26" t="str">
        <x:v>Listed current</x:v>
      </x:c>
      <x:c r="G143" s="26" t="str"/>
      <x:c r="H143" s="28"/>
      <x:c r="I143" s="30"/>
      <x:c r="J143" s="26" t="str"/>
      <x:c r="K143" s="26" t="str">
        <x:v>High</x:v>
      </x:c>
      <x:c r="L143" s="26" t="str">
        <x:v>Current Ehden listing</x:v>
      </x:c>
      <x:c r="M143" s="26" t="str">
        <x:v>https://www.findglocal.com/LB/Ehden/929178697155951/Al-Salamanki</x:v>
      </x:c>
      <x:c r="N143" s="26" t="str">
        <x:v>https://www.google.com/maps/search/?api=1&amp;query=Al+Salamanki%2C+Ehden%2C+Lebanon</x:v>
      </x:c>
      <x:c r="O143" s="26" t="str"/>
      <x:c r="P143" s="26" t="str">
        <x:v>2026-09-08</x:v>
      </x:c>
    </x:row>
    <x:row r="144">
      <x:c r="A144" s="26" t="n">
        <x:v>143</x:v>
      </x:c>
      <x:c r="B144" s="26" t="str">
        <x:v>Ehden</x:v>
      </x:c>
      <x:c r="C144" s="26" t="str">
        <x:v>Ehden</x:v>
      </x:c>
      <x:c r="D144" s="26" t="str">
        <x:v>Aayrout Cafe</x:v>
      </x:c>
      <x:c r="E144" s="26" t="str">
        <x:v>Cafe / restaurant</x:v>
      </x:c>
      <x:c r="F144" s="26" t="str">
        <x:v>Listed current</x:v>
      </x:c>
      <x:c r="G144" s="26" t="str"/>
      <x:c r="H144" s="28" t="n">
        <x:v>4</x:v>
      </x:c>
      <x:c r="I144" s="30" t="n">
        <x:v>4</x:v>
      </x:c>
      <x:c r="J144" s="26" t="str"/>
      <x:c r="K144" s="26" t="str">
        <x:v>Medium</x:v>
      </x:c>
      <x:c r="L144" s="26" t="str">
        <x:v>Tripadvisor Ehden 2026 listing</x:v>
      </x:c>
      <x:c r="M144" s="26" t="str">
        <x:v>https://www.tripadvisor.com/Restaurants-g1858121-Ehden_North_Governorate.html</x:v>
      </x:c>
      <x:c r="N144" s="26" t="str">
        <x:v>https://www.google.com/maps/search/?api=1&amp;query=Aayrout+Cafe%2C+Ehden%2C+Lebanon</x:v>
      </x:c>
      <x:c r="O144" s="26" t="str"/>
      <x:c r="P144" s="26" t="str">
        <x:v>2026-09-08</x:v>
      </x:c>
    </x:row>
    <x:row r="145">
      <x:c r="A145" s="26" t="n">
        <x:v>144</x:v>
      </x:c>
      <x:c r="B145" s="26" t="str">
        <x:v>Ehden</x:v>
      </x:c>
      <x:c r="C145" s="26" t="str">
        <x:v>Ehden</x:v>
      </x:c>
      <x:c r="D145" s="26" t="str">
        <x:v>Epsilon Wine Bar</x:v>
      </x:c>
      <x:c r="E145" s="26" t="str">
        <x:v>Wine bar / food</x:v>
      </x:c>
      <x:c r="F145" s="26" t="str">
        <x:v>Listed current</x:v>
      </x:c>
      <x:c r="G145" s="26" t="str"/>
      <x:c r="H145" s="28" t="n">
        <x:v>5</x:v>
      </x:c>
      <x:c r="I145" s="30" t="n">
        <x:v>4</x:v>
      </x:c>
      <x:c r="J145" s="26" t="str"/>
      <x:c r="K145" s="26" t="str">
        <x:v>Medium</x:v>
      </x:c>
      <x:c r="L145" s="26" t="str">
        <x:v>Tripadvisor Ehden 2026 listing</x:v>
      </x:c>
      <x:c r="M145" s="26" t="str">
        <x:v>https://www.tripadvisor.com/Restaurants-g1858121-Ehden_North_Governorate.html</x:v>
      </x:c>
      <x:c r="N145" s="26" t="str">
        <x:v>https://www.google.com/maps/search/?api=1&amp;query=Epsilon+Wine+Bar%2C+Ehden%2C+Lebanon</x:v>
      </x:c>
      <x:c r="O145" s="26" t="str"/>
      <x:c r="P145" s="26" t="str">
        <x:v>2026-09-08</x:v>
      </x:c>
    </x:row>
    <x:row r="146">
      <x:c r="A146" s="26" t="n">
        <x:v>145</x:v>
      </x:c>
      <x:c r="B146" s="26" t="str">
        <x:v>Ehden</x:v>
      </x:c>
      <x:c r="C146" s="26" t="str">
        <x:v>Ehden</x:v>
      </x:c>
      <x:c r="D146" s="26" t="str">
        <x:v>Names Ehden Pub</x:v>
      </x:c>
      <x:c r="E146" s="26" t="str">
        <x:v>Pub / food</x:v>
      </x:c>
      <x:c r="F146" s="26" t="str">
        <x:v>Listed current</x:v>
      </x:c>
      <x:c r="G146" s="26" t="str"/>
      <x:c r="H146" s="28"/>
      <x:c r="I146" s="30"/>
      <x:c r="J146" s="26" t="str"/>
      <x:c r="K146" s="26" t="str">
        <x:v>Medium</x:v>
      </x:c>
      <x:c r="L146" s="26" t="str">
        <x:v>Tripadvisor Ehden 2026 listing</x:v>
      </x:c>
      <x:c r="M146" s="26" t="str">
        <x:v>https://www.tripadvisor.com/Restaurants-g1858121-Ehden_North_Governorate.html</x:v>
      </x:c>
      <x:c r="N146" s="26" t="str">
        <x:v>https://www.google.com/maps/search/?api=1&amp;query=Names+Ehden+Pub%2C+Ehden%2C+Lebanon</x:v>
      </x:c>
      <x:c r="O146" s="26" t="str"/>
      <x:c r="P146" s="26" t="str">
        <x:v>2026-09-08</x:v>
      </x:c>
    </x:row>
    <x:row r="147">
      <x:c r="A147" s="26" t="n">
        <x:v>146</x:v>
      </x:c>
      <x:c r="B147" s="26" t="str">
        <x:v>Bsharri</x:v>
      </x:c>
      <x:c r="C147" s="26" t="str">
        <x:v>Bsharri / Cedars / Qadisha area</x:v>
      </x:c>
      <x:c r="D147" s="26" t="str">
        <x:v>Al Nahr Restaurant</x:v>
      </x:c>
      <x:c r="E147" s="26" t="str">
        <x:v>Traditional Lebanese</x:v>
      </x:c>
      <x:c r="F147" s="26" t="str">
        <x:v>Listed current</x:v>
      </x:c>
      <x:c r="G147" s="26" t="str"/>
      <x:c r="H147" s="28"/>
      <x:c r="I147" s="30"/>
      <x:c r="J147" s="26" t="str"/>
      <x:c r="K147" s="26" t="str">
        <x:v>High</x:v>
      </x:c>
      <x:c r="L147" s="26" t="str">
        <x:v>Current Bsharri town/municipal listing</x:v>
      </x:c>
      <x:c r="M147" s="26" t="str">
        <x:v>https://wenrayhin.com/en/towns/bsharri/food_drink</x:v>
      </x:c>
      <x:c r="N147" s="26" t="str">
        <x:v>https://www.google.com/maps/search/?api=1&amp;query=Al+Nahr+Restaurant%2C+Bsharri+%2F+Cedars+%2F+Qadisha+area%2C+Lebanon</x:v>
      </x:c>
      <x:c r="O147" s="26" t="str"/>
      <x:c r="P147" s="26" t="str">
        <x:v>2026-09-08</x:v>
      </x:c>
    </x:row>
    <x:row r="148">
      <x:c r="A148" s="26" t="n">
        <x:v>147</x:v>
      </x:c>
      <x:c r="B148" s="26" t="str">
        <x:v>Bsharri</x:v>
      </x:c>
      <x:c r="C148" s="26" t="str">
        <x:v>Bsharri / Cedars / Qadisha area</x:v>
      </x:c>
      <x:c r="D148" s="26" t="str">
        <x:v>Al Zaytouni - Qadisha</x:v>
      </x:c>
      <x:c r="E148" s="26" t="str">
        <x:v>Restaurant</x:v>
      </x:c>
      <x:c r="F148" s="26" t="str">
        <x:v>Listed current</x:v>
      </x:c>
      <x:c r="G148" s="26" t="str"/>
      <x:c r="H148" s="28" t="n">
        <x:v>4.6</x:v>
      </x:c>
      <x:c r="I148" s="30" t="n">
        <x:v>10</x:v>
      </x:c>
      <x:c r="J148" s="26" t="str"/>
      <x:c r="K148" s="26" t="str">
        <x:v>High</x:v>
      </x:c>
      <x:c r="L148" s="26" t="str">
        <x:v>Current Bsharri town/municipal listing</x:v>
      </x:c>
      <x:c r="M148" s="26" t="str">
        <x:v>https://wenrayhin.com/en/towns/bsharri/food_drink</x:v>
      </x:c>
      <x:c r="N148" s="26" t="str">
        <x:v>https://www.google.com/maps/search/?api=1&amp;query=Al+Zaytouni+-+Qadisha%2C+Bsharri+%2F+Cedars+%2F+Qadisha+area%2C+Lebanon</x:v>
      </x:c>
      <x:c r="O148" s="26" t="str"/>
      <x:c r="P148" s="26" t="str">
        <x:v>2026-09-08</x:v>
      </x:c>
    </x:row>
    <x:row r="149">
      <x:c r="A149" s="26" t="n">
        <x:v>148</x:v>
      </x:c>
      <x:c r="B149" s="26" t="str">
        <x:v>Bsharri</x:v>
      </x:c>
      <x:c r="C149" s="26" t="str">
        <x:v>Bsharri / Cedars / Qadisha area</x:v>
      </x:c>
      <x:c r="D149" s="26" t="str">
        <x:v>Makhlouf Restaurant</x:v>
      </x:c>
      <x:c r="E149" s="26" t="str">
        <x:v>Restaurant</x:v>
      </x:c>
      <x:c r="F149" s="26" t="str">
        <x:v>Listed current</x:v>
      </x:c>
      <x:c r="G149" s="26" t="str"/>
      <x:c r="H149" s="28"/>
      <x:c r="I149" s="30"/>
      <x:c r="J149" s="26" t="str"/>
      <x:c r="K149" s="26" t="str">
        <x:v>High</x:v>
      </x:c>
      <x:c r="L149" s="26" t="str">
        <x:v>Current Bsharri town/municipal listing</x:v>
      </x:c>
      <x:c r="M149" s="26" t="str">
        <x:v>https://wenrayhin.com/en/towns/bsharri/food_drink</x:v>
      </x:c>
      <x:c r="N149" s="26" t="str">
        <x:v>https://www.google.com/maps/search/?api=1&amp;query=Makhlouf+Restaurant%2C+Bsharri+%2F+Cedars+%2F+Qadisha+area%2C+Lebanon</x:v>
      </x:c>
      <x:c r="O149" s="26" t="str"/>
      <x:c r="P149" s="26" t="str">
        <x:v>2026-09-08</x:v>
      </x:c>
    </x:row>
    <x:row r="150">
      <x:c r="A150" s="26" t="n">
        <x:v>149</x:v>
      </x:c>
      <x:c r="B150" s="26" t="str">
        <x:v>Bsharri</x:v>
      </x:c>
      <x:c r="C150" s="26" t="str">
        <x:v>Bsharri / Cedars / Qadisha area</x:v>
      </x:c>
      <x:c r="D150" s="26" t="str">
        <x:v>Alpine Hotel Restaurant</x:v>
      </x:c>
      <x:c r="E150" s="26" t="str">
        <x:v>Restaurant</x:v>
      </x:c>
      <x:c r="F150" s="26" t="str">
        <x:v>Listed current</x:v>
      </x:c>
      <x:c r="G150" s="26" t="str"/>
      <x:c r="H150" s="28"/>
      <x:c r="I150" s="30"/>
      <x:c r="J150" s="26" t="str"/>
      <x:c r="K150" s="26" t="str">
        <x:v>High</x:v>
      </x:c>
      <x:c r="L150" s="26" t="str">
        <x:v>Current Bsharri town/municipal listing</x:v>
      </x:c>
      <x:c r="M150" s="26" t="str">
        <x:v>https://wenrayhin.com/en/towns/bsharri/food_drink</x:v>
      </x:c>
      <x:c r="N150" s="26" t="str">
        <x:v>https://www.google.com/maps/search/?api=1&amp;query=Alpine+Hotel+Restaurant%2C+Bsharri+%2F+Cedars+%2F+Qadisha+area%2C+Lebanon</x:v>
      </x:c>
      <x:c r="O150" s="26" t="str"/>
      <x:c r="P150" s="26" t="str">
        <x:v>2026-09-08</x:v>
      </x:c>
    </x:row>
    <x:row r="151">
      <x:c r="A151" s="26" t="n">
        <x:v>150</x:v>
      </x:c>
      <x:c r="B151" s="26" t="str">
        <x:v>Bsharri</x:v>
      </x:c>
      <x:c r="C151" s="26" t="str">
        <x:v>Bsharri / Cedars / Qadisha area</x:v>
      </x:c>
      <x:c r="D151" s="26" t="str">
        <x:v>Al Shallal Restaurant</x:v>
      </x:c>
      <x:c r="E151" s="26" t="str">
        <x:v>Lebanese</x:v>
      </x:c>
      <x:c r="F151" s="26" t="str">
        <x:v>Listed current</x:v>
      </x:c>
      <x:c r="G151" s="26" t="str"/>
      <x:c r="H151" s="28"/>
      <x:c r="I151" s="30"/>
      <x:c r="J151" s="26" t="str"/>
      <x:c r="K151" s="26" t="str">
        <x:v>High</x:v>
      </x:c>
      <x:c r="L151" s="26" t="str">
        <x:v>Current Bsharri town/municipal listing</x:v>
      </x:c>
      <x:c r="M151" s="26" t="str">
        <x:v>https://wenrayhin.com/en/towns/bsharri/food_drink</x:v>
      </x:c>
      <x:c r="N151" s="26" t="str">
        <x:v>https://www.google.com/maps/search/?api=1&amp;query=Al+Shallal+Restaurant%2C+Bsharri+%2F+Cedars+%2F+Qadisha+area%2C+Lebanon</x:v>
      </x:c>
      <x:c r="O151" s="26" t="str"/>
      <x:c r="P151" s="26" t="str">
        <x:v>2026-09-08</x:v>
      </x:c>
    </x:row>
    <x:row r="152">
      <x:c r="A152" s="26" t="n">
        <x:v>151</x:v>
      </x:c>
      <x:c r="B152" s="26" t="str">
        <x:v>Bsharri</x:v>
      </x:c>
      <x:c r="C152" s="26" t="str">
        <x:v>Bsharri / Cedars / Qadisha area</x:v>
      </x:c>
      <x:c r="D152" s="26" t="str">
        <x:v>Jisr Al Kamar - Restaurant</x:v>
      </x:c>
      <x:c r="E152" s="26" t="str">
        <x:v>Restaurant</x:v>
      </x:c>
      <x:c r="F152" s="26" t="str">
        <x:v>Listed current</x:v>
      </x:c>
      <x:c r="G152" s="26" t="str"/>
      <x:c r="H152" s="28"/>
      <x:c r="I152" s="30"/>
      <x:c r="J152" s="26" t="str"/>
      <x:c r="K152" s="26" t="str">
        <x:v>High</x:v>
      </x:c>
      <x:c r="L152" s="26" t="str">
        <x:v>Current Bsharri town/municipal listing</x:v>
      </x:c>
      <x:c r="M152" s="26" t="str">
        <x:v>https://wenrayhin.com/en/towns/bsharri/food_drink</x:v>
      </x:c>
      <x:c r="N152" s="26" t="str">
        <x:v>https://www.google.com/maps/search/?api=1&amp;query=Jisr+Al+Kamar+-+Restaurant%2C+Bsharri+%2F+Cedars+%2F+Qadisha+area%2C+Lebanon</x:v>
      </x:c>
      <x:c r="O152" s="26" t="str"/>
      <x:c r="P152" s="26" t="str">
        <x:v>2026-09-08</x:v>
      </x:c>
    </x:row>
    <x:row r="153">
      <x:c r="A153" s="26" t="n">
        <x:v>152</x:v>
      </x:c>
      <x:c r="B153" s="26" t="str">
        <x:v>Bsharri</x:v>
      </x:c>
      <x:c r="C153" s="26" t="str">
        <x:v>Bsharri / Cedars / Qadisha area</x:v>
      </x:c>
      <x:c r="D153" s="26" t="str">
        <x:v>Masa Restaurant - Bcharre</x:v>
      </x:c>
      <x:c r="E153" s="26" t="str">
        <x:v>Restaurant</x:v>
      </x:c>
      <x:c r="F153" s="26" t="str">
        <x:v>Listed current</x:v>
      </x:c>
      <x:c r="G153" s="26" t="str"/>
      <x:c r="H153" s="28" t="n">
        <x:v>4.6</x:v>
      </x:c>
      <x:c r="I153" s="30" t="n">
        <x:v>17</x:v>
      </x:c>
      <x:c r="J153" s="26" t="str"/>
      <x:c r="K153" s="26" t="str">
        <x:v>High</x:v>
      </x:c>
      <x:c r="L153" s="26" t="str">
        <x:v>Current Bsharri town/municipal listing</x:v>
      </x:c>
      <x:c r="M153" s="26" t="str">
        <x:v>https://wenrayhin.com/en/towns/bsharri/food_drink</x:v>
      </x:c>
      <x:c r="N153" s="26" t="str">
        <x:v>https://www.google.com/maps/search/?api=1&amp;query=Masa+Restaurant+-+Bcharre%2C+Bsharri+%2F+Cedars+%2F+Qadisha+area%2C+Lebanon</x:v>
      </x:c>
      <x:c r="O153" s="26" t="str"/>
      <x:c r="P153" s="26" t="str">
        <x:v>2026-09-08</x:v>
      </x:c>
    </x:row>
    <x:row r="154">
      <x:c r="A154" s="26" t="n">
        <x:v>153</x:v>
      </x:c>
      <x:c r="B154" s="26" t="str">
        <x:v>Bsharri</x:v>
      </x:c>
      <x:c r="C154" s="26" t="str">
        <x:v>Bsharri / Cedars / Qadisha area</x:v>
      </x:c>
      <x:c r="D154" s="26" t="str">
        <x:v>River Rock Restaurant</x:v>
      </x:c>
      <x:c r="E154" s="26" t="str">
        <x:v>Traditional Lebanese</x:v>
      </x:c>
      <x:c r="F154" s="26" t="str">
        <x:v>Listed current</x:v>
      </x:c>
      <x:c r="G154" s="26" t="str"/>
      <x:c r="H154" s="28" t="n">
        <x:v>4.8</x:v>
      </x:c>
      <x:c r="I154" s="30" t="n">
        <x:v>42</x:v>
      </x:c>
      <x:c r="J154" s="26" t="str"/>
      <x:c r="K154" s="26" t="str">
        <x:v>High</x:v>
      </x:c>
      <x:c r="L154" s="26" t="str">
        <x:v>Current Bsharri town/municipal listing</x:v>
      </x:c>
      <x:c r="M154" s="26" t="str">
        <x:v>https://wenrayhin.com/en/towns/bsharri/food_drink</x:v>
      </x:c>
      <x:c r="N154" s="26" t="str">
        <x:v>https://www.google.com/maps/search/?api=1&amp;query=River+Rock+Restaurant%2C+Bsharri+%2F+Cedars+%2F+Qadisha+area%2C+Lebanon</x:v>
      </x:c>
      <x:c r="O154" s="26" t="str"/>
      <x:c r="P154" s="26" t="str">
        <x:v>2026-09-08</x:v>
      </x:c>
    </x:row>
    <x:row r="155">
      <x:c r="A155" s="26" t="n">
        <x:v>154</x:v>
      </x:c>
      <x:c r="B155" s="26" t="str">
        <x:v>Bsharri</x:v>
      </x:c>
      <x:c r="C155" s="26" t="str">
        <x:v>Bsharri / Cedars / Qadisha area</x:v>
      </x:c>
      <x:c r="D155" s="26" t="str">
        <x:v>RTC - RICH TASTE CUISINE</x:v>
      </x:c>
      <x:c r="E155" s="26" t="str">
        <x:v>Restaurant</x:v>
      </x:c>
      <x:c r="F155" s="26" t="str">
        <x:v>Listed current</x:v>
      </x:c>
      <x:c r="G155" s="26" t="str"/>
      <x:c r="H155" s="28"/>
      <x:c r="I155" s="30"/>
      <x:c r="J155" s="26" t="str"/>
      <x:c r="K155" s="26" t="str">
        <x:v>High</x:v>
      </x:c>
      <x:c r="L155" s="26" t="str">
        <x:v>Current Bsharri town/municipal listing</x:v>
      </x:c>
      <x:c r="M155" s="26" t="str">
        <x:v>https://wenrayhin.com/en/towns/bsharri/food_drink</x:v>
      </x:c>
      <x:c r="N155" s="26" t="str">
        <x:v>https://www.google.com/maps/search/?api=1&amp;query=RTC+-+RICH+TASTE+CUISINE%2C+Bsharri+%2F+Cedars+%2F+Qadisha+area%2C+Lebanon</x:v>
      </x:c>
      <x:c r="O155" s="26" t="str"/>
      <x:c r="P155" s="26" t="str">
        <x:v>2026-09-08</x:v>
      </x:c>
    </x:row>
    <x:row r="156">
      <x:c r="A156" s="26" t="n">
        <x:v>155</x:v>
      </x:c>
      <x:c r="B156" s="26" t="str">
        <x:v>Bsharri</x:v>
      </x:c>
      <x:c r="C156" s="26" t="str">
        <x:v>Bsharri / Cedars / Qadisha area</x:v>
      </x:c>
      <x:c r="D156" s="26" t="str">
        <x:v>Simar Al Jabal</x:v>
      </x:c>
      <x:c r="E156" s="26" t="str">
        <x:v>Restaurant</x:v>
      </x:c>
      <x:c r="F156" s="26" t="str">
        <x:v>Listed current</x:v>
      </x:c>
      <x:c r="G156" s="26" t="str"/>
      <x:c r="H156" s="28"/>
      <x:c r="I156" s="30"/>
      <x:c r="J156" s="26" t="str"/>
      <x:c r="K156" s="26" t="str">
        <x:v>High</x:v>
      </x:c>
      <x:c r="L156" s="26" t="str">
        <x:v>Current Bsharri town/municipal listing</x:v>
      </x:c>
      <x:c r="M156" s="26" t="str">
        <x:v>https://wenrayhin.com/en/towns/bsharri/food_drink</x:v>
      </x:c>
      <x:c r="N156" s="26" t="str">
        <x:v>https://www.google.com/maps/search/?api=1&amp;query=Simar+Al+Jabal%2C+Bsharri+%2F+Cedars+%2F+Qadisha+area%2C+Lebanon</x:v>
      </x:c>
      <x:c r="O156" s="26" t="str"/>
      <x:c r="P156" s="26" t="str">
        <x:v>2026-09-08</x:v>
      </x:c>
    </x:row>
    <x:row r="157">
      <x:c r="A157" s="26" t="n">
        <x:v>156</x:v>
      </x:c>
      <x:c r="B157" s="26" t="str">
        <x:v>Bsharri</x:v>
      </x:c>
      <x:c r="C157" s="26" t="str">
        <x:v>Bsharri / Cedars / Qadisha area</x:v>
      </x:c>
      <x:c r="D157" s="26" t="str">
        <x:v>Cedars Heaven - Janet Al Arez</x:v>
      </x:c>
      <x:c r="E157" s="26" t="str">
        <x:v>Restaurant</x:v>
      </x:c>
      <x:c r="F157" s="26" t="str">
        <x:v>Listed current</x:v>
      </x:c>
      <x:c r="G157" s="26" t="str"/>
      <x:c r="H157" s="28" t="n">
        <x:v>4.4</x:v>
      </x:c>
      <x:c r="I157" s="30" t="n">
        <x:v>26</x:v>
      </x:c>
      <x:c r="J157" s="26" t="str"/>
      <x:c r="K157" s="26" t="str">
        <x:v>High</x:v>
      </x:c>
      <x:c r="L157" s="26" t="str">
        <x:v>Current Bsharri town/municipal listing</x:v>
      </x:c>
      <x:c r="M157" s="26" t="str">
        <x:v>https://wenrayhin.com/en/towns/bsharri/food_drink</x:v>
      </x:c>
      <x:c r="N157" s="26" t="str">
        <x:v>https://www.google.com/maps/search/?api=1&amp;query=Cedars+Heaven+-+Janet+Al+Arez%2C+Bsharri+%2F+Cedars+%2F+Qadisha+area%2C+Lebanon</x:v>
      </x:c>
      <x:c r="O157" s="26" t="str"/>
      <x:c r="P157" s="26" t="str">
        <x:v>2026-09-08</x:v>
      </x:c>
    </x:row>
    <x:row r="158">
      <x:c r="A158" s="26" t="n">
        <x:v>157</x:v>
      </x:c>
      <x:c r="B158" s="26" t="str">
        <x:v>Bsharri</x:v>
      </x:c>
      <x:c r="C158" s="26" t="str">
        <x:v>Bsharri / Cedars / Qadisha area</x:v>
      </x:c>
      <x:c r="D158" s="26" t="str">
        <x:v>Le Jette Restaurant</x:v>
      </x:c>
      <x:c r="E158" s="26" t="str">
        <x:v>Restaurant</x:v>
      </x:c>
      <x:c r="F158" s="26" t="str">
        <x:v>Listed current</x:v>
      </x:c>
      <x:c r="G158" s="26" t="str"/>
      <x:c r="H158" s="28"/>
      <x:c r="I158" s="30"/>
      <x:c r="J158" s="26" t="str"/>
      <x:c r="K158" s="26" t="str">
        <x:v>High</x:v>
      </x:c>
      <x:c r="L158" s="26" t="str">
        <x:v>Current Bsharri town/municipal listing</x:v>
      </x:c>
      <x:c r="M158" s="26" t="str">
        <x:v>https://wenrayhin.com/en/towns/bsharri/food_drink</x:v>
      </x:c>
      <x:c r="N158" s="26" t="str">
        <x:v>https://www.google.com/maps/search/?api=1&amp;query=Le+Jette+Restaurant%2C+Bsharri+%2F+Cedars+%2F+Qadisha+area%2C+Lebanon</x:v>
      </x:c>
      <x:c r="O158" s="26" t="str"/>
      <x:c r="P158" s="26" t="str">
        <x:v>2026-09-08</x:v>
      </x:c>
    </x:row>
    <x:row r="159">
      <x:c r="A159" s="26" t="n">
        <x:v>158</x:v>
      </x:c>
      <x:c r="B159" s="26" t="str">
        <x:v>Bsharri</x:v>
      </x:c>
      <x:c r="C159" s="26" t="str">
        <x:v>Bsharri / Cedars / Qadisha area</x:v>
      </x:c>
      <x:c r="D159" s="26" t="str">
        <x:v>Al Reef Al Lubnani Restaurant &amp; Bungalow</x:v>
      </x:c>
      <x:c r="E159" s="26" t="str">
        <x:v>Restaurant</x:v>
      </x:c>
      <x:c r="F159" s="26" t="str">
        <x:v>Listed current</x:v>
      </x:c>
      <x:c r="G159" s="26" t="str"/>
      <x:c r="H159" s="28"/>
      <x:c r="I159" s="30"/>
      <x:c r="J159" s="26" t="str"/>
      <x:c r="K159" s="26" t="str">
        <x:v>High</x:v>
      </x:c>
      <x:c r="L159" s="26" t="str">
        <x:v>Current Bsharri town/municipal listing</x:v>
      </x:c>
      <x:c r="M159" s="26" t="str">
        <x:v>https://wenrayhin.com/en/towns/bsharri/food_drink</x:v>
      </x:c>
      <x:c r="N159" s="26" t="str">
        <x:v>https://www.google.com/maps/search/?api=1&amp;query=Al+Reef+Al+Lubnani+Restaurant+%26+Bungalow%2C+Bsharri+%2F+Cedars+%2F+Qadisha+area%2C+Lebanon</x:v>
      </x:c>
      <x:c r="O159" s="26" t="str"/>
      <x:c r="P159" s="26" t="str">
        <x:v>2026-09-08</x:v>
      </x:c>
    </x:row>
    <x:row r="160">
      <x:c r="A160" s="26" t="n">
        <x:v>159</x:v>
      </x:c>
      <x:c r="B160" s="26" t="str">
        <x:v>Bsharri</x:v>
      </x:c>
      <x:c r="C160" s="26" t="str">
        <x:v>Bsharri / Cedars / Qadisha area</x:v>
      </x:c>
      <x:c r="D160" s="26" t="str">
        <x:v>Bsharri Square</x:v>
      </x:c>
      <x:c r="E160" s="26" t="str">
        <x:v>Restaurant / food court</x:v>
      </x:c>
      <x:c r="F160" s="26" t="str">
        <x:v>Listed current</x:v>
      </x:c>
      <x:c r="G160" s="26" t="str"/>
      <x:c r="H160" s="28"/>
      <x:c r="I160" s="30"/>
      <x:c r="J160" s="26" t="str"/>
      <x:c r="K160" s="26" t="str">
        <x:v>High</x:v>
      </x:c>
      <x:c r="L160" s="26" t="str">
        <x:v>Current Bsharri town/municipal listing</x:v>
      </x:c>
      <x:c r="M160" s="26" t="str">
        <x:v>https://wenrayhin.com/en/towns/bsharri/food_drink</x:v>
      </x:c>
      <x:c r="N160" s="26" t="str">
        <x:v>https://www.google.com/maps/search/?api=1&amp;query=Bsharri+Square%2C+Bsharri+%2F+Cedars+%2F+Qadisha+area%2C+Lebanon</x:v>
      </x:c>
      <x:c r="O160" s="26" t="str"/>
      <x:c r="P160" s="26" t="str">
        <x:v>2026-09-08</x:v>
      </x:c>
    </x:row>
    <x:row r="161">
      <x:c r="A161" s="26" t="n">
        <x:v>160</x:v>
      </x:c>
      <x:c r="B161" s="26" t="str">
        <x:v>Bsharri</x:v>
      </x:c>
      <x:c r="C161" s="26" t="str">
        <x:v>Bsharri / Cedars / Qadisha area</x:v>
      </x:c>
      <x:c r="D161" s="26" t="str">
        <x:v>Grilla Resto-Bar</x:v>
      </x:c>
      <x:c r="E161" s="26" t="str">
        <x:v>Restaurant</x:v>
      </x:c>
      <x:c r="F161" s="26" t="str">
        <x:v>Listed current</x:v>
      </x:c>
      <x:c r="G161" s="26" t="str"/>
      <x:c r="H161" s="28"/>
      <x:c r="I161" s="30"/>
      <x:c r="J161" s="26" t="str"/>
      <x:c r="K161" s="26" t="str">
        <x:v>High</x:v>
      </x:c>
      <x:c r="L161" s="26" t="str">
        <x:v>Current Bsharri town/municipal listing</x:v>
      </x:c>
      <x:c r="M161" s="26" t="str">
        <x:v>https://wenrayhin.com/en/towns/bsharri/food_drink</x:v>
      </x:c>
      <x:c r="N161" s="26" t="str">
        <x:v>https://www.google.com/maps/search/?api=1&amp;query=Grilla+Resto-Bar%2C+Bsharri+%2F+Cedars+%2F+Qadisha+area%2C+Lebanon</x:v>
      </x:c>
      <x:c r="O161" s="26" t="str"/>
      <x:c r="P161" s="26" t="str">
        <x:v>2026-09-08</x:v>
      </x:c>
    </x:row>
    <x:row r="162">
      <x:c r="A162" s="26" t="n">
        <x:v>161</x:v>
      </x:c>
      <x:c r="B162" s="26" t="str">
        <x:v>Bsharri</x:v>
      </x:c>
      <x:c r="C162" s="26" t="str">
        <x:v>Bsharri / Cedars / Qadisha area</x:v>
      </x:c>
      <x:c r="D162" s="26" t="str">
        <x:v>L'isba Cedars</x:v>
      </x:c>
      <x:c r="E162" s="26" t="str">
        <x:v>Restaurant</x:v>
      </x:c>
      <x:c r="F162" s="26" t="str">
        <x:v>Listed current</x:v>
      </x:c>
      <x:c r="G162" s="26" t="str"/>
      <x:c r="H162" s="28"/>
      <x:c r="I162" s="30"/>
      <x:c r="J162" s="26" t="str"/>
      <x:c r="K162" s="26" t="str">
        <x:v>High</x:v>
      </x:c>
      <x:c r="L162" s="26" t="str">
        <x:v>Current Bsharri town/municipal listing</x:v>
      </x:c>
      <x:c r="M162" s="26" t="str">
        <x:v>https://wenrayhin.com/en/towns/bsharri/food_drink</x:v>
      </x:c>
      <x:c r="N162" s="26" t="str">
        <x:v>https://www.google.com/maps/search/?api=1&amp;query=L%27isba+Cedars%2C+Bsharri+%2F+Cedars+%2F+Qadisha+area%2C+Lebanon</x:v>
      </x:c>
      <x:c r="O162" s="26" t="str"/>
      <x:c r="P162" s="26" t="str">
        <x:v>2026-09-08</x:v>
      </x:c>
    </x:row>
    <x:row r="163">
      <x:c r="A163" s="26" t="n">
        <x:v>162</x:v>
      </x:c>
      <x:c r="B163" s="26" t="str">
        <x:v>Bsharri</x:v>
      </x:c>
      <x:c r="C163" s="26" t="str">
        <x:v>Bsharri / Cedars / Qadisha area</x:v>
      </x:c>
      <x:c r="D163" s="26" t="str">
        <x:v>Sabbagh - Restaurant</x:v>
      </x:c>
      <x:c r="E163" s="26" t="str">
        <x:v>Restaurant</x:v>
      </x:c>
      <x:c r="F163" s="26" t="str">
        <x:v>Listed current</x:v>
      </x:c>
      <x:c r="G163" s="26" t="str"/>
      <x:c r="H163" s="28"/>
      <x:c r="I163" s="30"/>
      <x:c r="J163" s="26" t="str"/>
      <x:c r="K163" s="26" t="str">
        <x:v>High</x:v>
      </x:c>
      <x:c r="L163" s="26" t="str">
        <x:v>Current Bsharri town/municipal listing</x:v>
      </x:c>
      <x:c r="M163" s="26" t="str">
        <x:v>https://wenrayhin.com/en/towns/bsharri/food_drink</x:v>
      </x:c>
      <x:c r="N163" s="26" t="str">
        <x:v>https://www.google.com/maps/search/?api=1&amp;query=Sabbagh+-+Restaurant%2C+Bsharri+%2F+Cedars+%2F+Qadisha+area%2C+Lebanon</x:v>
      </x:c>
      <x:c r="O163" s="26" t="str"/>
      <x:c r="P163" s="26" t="str">
        <x:v>2026-09-08</x:v>
      </x:c>
    </x:row>
    <x:row r="164">
      <x:c r="A164" s="26" t="n">
        <x:v>163</x:v>
      </x:c>
      <x:c r="B164" s="26" t="str">
        <x:v>Bsharri</x:v>
      </x:c>
      <x:c r="C164" s="26" t="str">
        <x:v>Bsharri / Cedars / Qadisha area</x:v>
      </x:c>
      <x:c r="D164" s="26" t="str">
        <x:v>Sakhret Kannoubine-Restaurant</x:v>
      </x:c>
      <x:c r="E164" s="26" t="str">
        <x:v>Lebanese / Mediterranean</x:v>
      </x:c>
      <x:c r="F164" s="26" t="str">
        <x:v>Listed current</x:v>
      </x:c>
      <x:c r="G164" s="26" t="str"/>
      <x:c r="H164" s="28"/>
      <x:c r="I164" s="30"/>
      <x:c r="J164" s="26" t="str"/>
      <x:c r="K164" s="26" t="str">
        <x:v>High</x:v>
      </x:c>
      <x:c r="L164" s="26" t="str">
        <x:v>Current Bsharri town/municipal listing</x:v>
      </x:c>
      <x:c r="M164" s="26" t="str">
        <x:v>https://wenrayhin.com/en/towns/bsharri/food_drink</x:v>
      </x:c>
      <x:c r="N164" s="26" t="str">
        <x:v>https://www.google.com/maps/search/?api=1&amp;query=Sakhret+Kannoubine-Restaurant%2C+Bsharri+%2F+Cedars+%2F+Qadisha+area%2C+Lebanon</x:v>
      </x:c>
      <x:c r="O164" s="26" t="str"/>
      <x:c r="P164" s="26" t="str">
        <x:v>2026-09-08</x:v>
      </x:c>
    </x:row>
    <x:row r="165">
      <x:c r="A165" s="26" t="n">
        <x:v>164</x:v>
      </x:c>
      <x:c r="B165" s="26" t="str">
        <x:v>Bsharri</x:v>
      </x:c>
      <x:c r="C165" s="26" t="str">
        <x:v>Bsharri / Cedars / Qadisha area</x:v>
      </x:c>
      <x:c r="D165" s="26" t="str">
        <x:v>Francis Restaurant</x:v>
      </x:c>
      <x:c r="E165" s="26" t="str">
        <x:v>Lebanese / Mediterranean</x:v>
      </x:c>
      <x:c r="F165" s="26" t="str">
        <x:v>Listed current</x:v>
      </x:c>
      <x:c r="G165" s="26" t="str"/>
      <x:c r="H165" s="28" t="n">
        <x:v>5</x:v>
      </x:c>
      <x:c r="I165" s="30" t="n">
        <x:v>2</x:v>
      </x:c>
      <x:c r="J165" s="26" t="str"/>
      <x:c r="K165" s="26" t="str">
        <x:v>High</x:v>
      </x:c>
      <x:c r="L165" s="26" t="str">
        <x:v>Current Bsharri town/municipal listing</x:v>
      </x:c>
      <x:c r="M165" s="26" t="str">
        <x:v>https://wenrayhin.com/en/towns/bsharri/food_drink</x:v>
      </x:c>
      <x:c r="N165" s="26" t="str">
        <x:v>https://www.google.com/maps/search/?api=1&amp;query=Francis+Restaurant%2C+Bsharri+%2F+Cedars+%2F+Qadisha+area%2C+Lebanon</x:v>
      </x:c>
      <x:c r="O165" s="26" t="str"/>
      <x:c r="P165" s="26" t="str">
        <x:v>2026-09-08</x:v>
      </x:c>
    </x:row>
    <x:row r="166">
      <x:c r="A166" s="26" t="n">
        <x:v>165</x:v>
      </x:c>
      <x:c r="B166" s="26" t="str">
        <x:v>Bsharri</x:v>
      </x:c>
      <x:c r="C166" s="26" t="str">
        <x:v>Bsharri / Cedars / Qadisha area</x:v>
      </x:c>
      <x:c r="D166" s="26" t="str">
        <x:v>BabEl Marej</x:v>
      </x:c>
      <x:c r="E166" s="26" t="str">
        <x:v>Restaurant</x:v>
      </x:c>
      <x:c r="F166" s="26" t="str">
        <x:v>Listed current</x:v>
      </x:c>
      <x:c r="G166" s="26" t="str"/>
      <x:c r="H166" s="28"/>
      <x:c r="I166" s="30"/>
      <x:c r="J166" s="26" t="str"/>
      <x:c r="K166" s="26" t="str">
        <x:v>High</x:v>
      </x:c>
      <x:c r="L166" s="26" t="str">
        <x:v>Current Bsharri town/municipal listing</x:v>
      </x:c>
      <x:c r="M166" s="26" t="str">
        <x:v>https://wenrayhin.com/en/towns/bsharri/food_drink</x:v>
      </x:c>
      <x:c r="N166" s="26" t="str">
        <x:v>https://www.google.com/maps/search/?api=1&amp;query=BabEl+Marej%2C+Bsharri+%2F+Cedars+%2F+Qadisha+area%2C+Lebanon</x:v>
      </x:c>
      <x:c r="O166" s="26" t="str"/>
      <x:c r="P166" s="26" t="str">
        <x:v>2026-09-08</x:v>
      </x:c>
    </x:row>
    <x:row r="167">
      <x:c r="A167" s="26" t="n">
        <x:v>166</x:v>
      </x:c>
      <x:c r="B167" s="26" t="str">
        <x:v>Bsharri</x:v>
      </x:c>
      <x:c r="C167" s="26" t="str">
        <x:v>Bsharri / Cedars / Qadisha area</x:v>
      </x:c>
      <x:c r="D167" s="26" t="str">
        <x:v>Cafe des Cèdres</x:v>
      </x:c>
      <x:c r="E167" s="26" t="str">
        <x:v>Restaurant</x:v>
      </x:c>
      <x:c r="F167" s="26" t="str">
        <x:v>Listed current</x:v>
      </x:c>
      <x:c r="G167" s="26" t="str"/>
      <x:c r="H167" s="28"/>
      <x:c r="I167" s="30"/>
      <x:c r="J167" s="26" t="str"/>
      <x:c r="K167" s="26" t="str">
        <x:v>High</x:v>
      </x:c>
      <x:c r="L167" s="26" t="str">
        <x:v>Current Bsharri town/municipal listing</x:v>
      </x:c>
      <x:c r="M167" s="26" t="str">
        <x:v>https://wenrayhin.com/en/towns/bsharri/food_drink</x:v>
      </x:c>
      <x:c r="N167" s="26" t="str">
        <x:v>https://www.google.com/maps/search/?api=1&amp;query=Cafe+des+C%C3%A8dres%2C+Bsharri+%2F+Cedars+%2F+Qadisha+area%2C+Lebanon</x:v>
      </x:c>
      <x:c r="O167" s="26" t="str"/>
      <x:c r="P167" s="26" t="str">
        <x:v>2026-09-08</x:v>
      </x:c>
    </x:row>
    <x:row r="168">
      <x:c r="A168" s="26" t="n">
        <x:v>167</x:v>
      </x:c>
      <x:c r="B168" s="26" t="str">
        <x:v>Bsharri</x:v>
      </x:c>
      <x:c r="C168" s="26" t="str">
        <x:v>Bsharri / Cedars / Qadisha area</x:v>
      </x:c>
      <x:c r="D168" s="26" t="str">
        <x:v>Le Pichet</x:v>
      </x:c>
      <x:c r="E168" s="26" t="str">
        <x:v>Restaurant</x:v>
      </x:c>
      <x:c r="F168" s="26" t="str">
        <x:v>Listed current</x:v>
      </x:c>
      <x:c r="G168" s="26" t="str"/>
      <x:c r="H168" s="28"/>
      <x:c r="I168" s="30"/>
      <x:c r="J168" s="26" t="str"/>
      <x:c r="K168" s="26" t="str">
        <x:v>High</x:v>
      </x:c>
      <x:c r="L168" s="26" t="str">
        <x:v>Current Bsharri town/municipal listing</x:v>
      </x:c>
      <x:c r="M168" s="26" t="str">
        <x:v>https://wenrayhin.com/en/towns/bsharri/food_drink</x:v>
      </x:c>
      <x:c r="N168" s="26" t="str">
        <x:v>https://www.google.com/maps/search/?api=1&amp;query=Le+Pichet%2C+Bsharri+%2F+Cedars+%2F+Qadisha+area%2C+Lebanon</x:v>
      </x:c>
      <x:c r="O168" s="26" t="str"/>
      <x:c r="P168" s="26" t="str">
        <x:v>2026-09-08</x:v>
      </x:c>
    </x:row>
    <x:row r="169">
      <x:c r="A169" s="26" t="n">
        <x:v>168</x:v>
      </x:c>
      <x:c r="B169" s="26" t="str">
        <x:v>Bsharri</x:v>
      </x:c>
      <x:c r="C169" s="26" t="str">
        <x:v>Bsharri / Cedars / Qadisha area</x:v>
      </x:c>
      <x:c r="D169" s="26" t="str">
        <x:v>Restaurant Bourj Al Arz</x:v>
      </x:c>
      <x:c r="E169" s="26" t="str">
        <x:v>Lebanese</x:v>
      </x:c>
      <x:c r="F169" s="26" t="str">
        <x:v>Listed current</x:v>
      </x:c>
      <x:c r="G169" s="26" t="str"/>
      <x:c r="H169" s="28"/>
      <x:c r="I169" s="30"/>
      <x:c r="J169" s="26" t="str"/>
      <x:c r="K169" s="26" t="str">
        <x:v>High</x:v>
      </x:c>
      <x:c r="L169" s="26" t="str">
        <x:v>Current Bsharri town/municipal listing</x:v>
      </x:c>
      <x:c r="M169" s="26" t="str">
        <x:v>https://wenrayhin.com/en/towns/bsharri/food_drink</x:v>
      </x:c>
      <x:c r="N169" s="26" t="str">
        <x:v>https://www.google.com/maps/search/?api=1&amp;query=Restaurant+Bourj+Al+Arz%2C+Bsharri+%2F+Cedars+%2F+Qadisha+area%2C+Lebanon</x:v>
      </x:c>
      <x:c r="O169" s="26" t="str"/>
      <x:c r="P169" s="26" t="str">
        <x:v>2026-09-08</x:v>
      </x:c>
    </x:row>
    <x:row r="170">
      <x:c r="A170" s="26" t="n">
        <x:v>169</x:v>
      </x:c>
      <x:c r="B170" s="26" t="str">
        <x:v>Bsharri</x:v>
      </x:c>
      <x:c r="C170" s="26" t="str">
        <x:v>Bsharri / Cedars / Qadisha area</x:v>
      </x:c>
      <x:c r="D170" s="26" t="str">
        <x:v>Applewood</x:v>
      </x:c>
      <x:c r="E170" s="26" t="str">
        <x:v>Restaurant</x:v>
      </x:c>
      <x:c r="F170" s="26" t="str">
        <x:v>Listed current</x:v>
      </x:c>
      <x:c r="G170" s="26" t="str"/>
      <x:c r="H170" s="28"/>
      <x:c r="I170" s="30"/>
      <x:c r="J170" s="26" t="str"/>
      <x:c r="K170" s="26" t="str">
        <x:v>High</x:v>
      </x:c>
      <x:c r="L170" s="26" t="str">
        <x:v>Current Bsharri town/municipal listing</x:v>
      </x:c>
      <x:c r="M170" s="26" t="str">
        <x:v>https://wenrayhin.com/en/towns/bsharri/food_drink</x:v>
      </x:c>
      <x:c r="N170" s="26" t="str">
        <x:v>https://www.google.com/maps/search/?api=1&amp;query=Applewood%2C+Bsharri+%2F+Cedars+%2F+Qadisha+area%2C+Lebanon</x:v>
      </x:c>
      <x:c r="O170" s="26" t="str"/>
      <x:c r="P170" s="26" t="str">
        <x:v>2026-09-08</x:v>
      </x:c>
    </x:row>
    <x:row r="171">
      <x:c r="A171" s="26" t="n">
        <x:v>170</x:v>
      </x:c>
      <x:c r="B171" s="26" t="str">
        <x:v>Bsharri</x:v>
      </x:c>
      <x:c r="C171" s="26" t="str">
        <x:v>Bsharri / Cedars / Qadisha area</x:v>
      </x:c>
      <x:c r="D171" s="26" t="str">
        <x:v>Atlal - Restaurant</x:v>
      </x:c>
      <x:c r="E171" s="26" t="str">
        <x:v>Restaurant</x:v>
      </x:c>
      <x:c r="F171" s="26" t="str">
        <x:v>Listed current</x:v>
      </x:c>
      <x:c r="G171" s="26" t="str"/>
      <x:c r="H171" s="28"/>
      <x:c r="I171" s="30"/>
      <x:c r="J171" s="26" t="str"/>
      <x:c r="K171" s="26" t="str">
        <x:v>High</x:v>
      </x:c>
      <x:c r="L171" s="26" t="str">
        <x:v>Current Bsharri town/municipal listing</x:v>
      </x:c>
      <x:c r="M171" s="26" t="str">
        <x:v>https://wenrayhin.com/en/towns/bsharri/food_drink</x:v>
      </x:c>
      <x:c r="N171" s="26" t="str">
        <x:v>https://www.google.com/maps/search/?api=1&amp;query=Atlal+-+Restaurant%2C+Bsharri+%2F+Cedars+%2F+Qadisha+area%2C+Lebanon</x:v>
      </x:c>
      <x:c r="O171" s="26" t="str"/>
      <x:c r="P171" s="26" t="str">
        <x:v>2026-09-08</x:v>
      </x:c>
    </x:row>
    <x:row r="172">
      <x:c r="A172" s="26" t="n">
        <x:v>171</x:v>
      </x:c>
      <x:c r="B172" s="26" t="str">
        <x:v>Bsharri</x:v>
      </x:c>
      <x:c r="C172" s="26" t="str">
        <x:v>Bsharri / Cedars / Qadisha area</x:v>
      </x:c>
      <x:c r="D172" s="26" t="str">
        <x:v>Burgari 5150</x:v>
      </x:c>
      <x:c r="E172" s="26" t="str">
        <x:v>Burger restaurant</x:v>
      </x:c>
      <x:c r="F172" s="26" t="str">
        <x:v>Listed current</x:v>
      </x:c>
      <x:c r="G172" s="26" t="str"/>
      <x:c r="H172" s="28"/>
      <x:c r="I172" s="30"/>
      <x:c r="J172" s="26" t="str"/>
      <x:c r="K172" s="26" t="str">
        <x:v>High</x:v>
      </x:c>
      <x:c r="L172" s="26" t="str">
        <x:v>Current Bsharri town/municipal listing</x:v>
      </x:c>
      <x:c r="M172" s="26" t="str">
        <x:v>https://wenrayhin.com/en/towns/bsharri/food_drink</x:v>
      </x:c>
      <x:c r="N172" s="26" t="str">
        <x:v>https://www.google.com/maps/search/?api=1&amp;query=Burgari+5150%2C+Bsharri+%2F+Cedars+%2F+Qadisha+area%2C+Lebanon</x:v>
      </x:c>
      <x:c r="O172" s="26" t="str"/>
      <x:c r="P172" s="26" t="str">
        <x:v>2026-09-08</x:v>
      </x:c>
    </x:row>
    <x:row r="173">
      <x:c r="A173" s="26" t="n">
        <x:v>172</x:v>
      </x:c>
      <x:c r="B173" s="26" t="str">
        <x:v>Bsharri</x:v>
      </x:c>
      <x:c r="C173" s="26" t="str">
        <x:v>Bsharri / Cedars / Qadisha area</x:v>
      </x:c>
      <x:c r="D173" s="26" t="str">
        <x:v>Feniqia</x:v>
      </x:c>
      <x:c r="E173" s="26" t="str">
        <x:v>Traditional Lebanese</x:v>
      </x:c>
      <x:c r="F173" s="26" t="str">
        <x:v>Listed current</x:v>
      </x:c>
      <x:c r="G173" s="26" t="str"/>
      <x:c r="H173" s="28"/>
      <x:c r="I173" s="30"/>
      <x:c r="J173" s="26" t="str"/>
      <x:c r="K173" s="26" t="str">
        <x:v>High</x:v>
      </x:c>
      <x:c r="L173" s="26" t="str">
        <x:v>Current Bsharri town/municipal listing</x:v>
      </x:c>
      <x:c r="M173" s="26" t="str">
        <x:v>https://wenrayhin.com/en/towns/bsharri/food_drink</x:v>
      </x:c>
      <x:c r="N173" s="26" t="str">
        <x:v>https://www.google.com/maps/search/?api=1&amp;query=Feniqia%2C+Bsharri+%2F+Cedars+%2F+Qadisha+area%2C+Lebanon</x:v>
      </x:c>
      <x:c r="O173" s="26" t="str"/>
      <x:c r="P173" s="26" t="str">
        <x:v>2026-09-08</x:v>
      </x:c>
    </x:row>
    <x:row r="174">
      <x:c r="A174" s="26" t="n">
        <x:v>173</x:v>
      </x:c>
      <x:c r="B174" s="26" t="str">
        <x:v>Bsharri</x:v>
      </x:c>
      <x:c r="C174" s="26" t="str">
        <x:v>Bsharri / Cedars / Qadisha area</x:v>
      </x:c>
      <x:c r="D174" s="26" t="str">
        <x:v>King Raffoul</x:v>
      </x:c>
      <x:c r="E174" s="26" t="str">
        <x:v>Restaurant</x:v>
      </x:c>
      <x:c r="F174" s="26" t="str">
        <x:v>Listed current</x:v>
      </x:c>
      <x:c r="G174" s="26" t="str"/>
      <x:c r="H174" s="28"/>
      <x:c r="I174" s="30"/>
      <x:c r="J174" s="26" t="str"/>
      <x:c r="K174" s="26" t="str">
        <x:v>High</x:v>
      </x:c>
      <x:c r="L174" s="26" t="str">
        <x:v>Current Bsharri town/municipal listing</x:v>
      </x:c>
      <x:c r="M174" s="26" t="str">
        <x:v>https://wenrayhin.com/en/towns/bsharri/food_drink</x:v>
      </x:c>
      <x:c r="N174" s="26" t="str">
        <x:v>https://www.google.com/maps/search/?api=1&amp;query=King+Raffoul%2C+Bsharri+%2F+Cedars+%2F+Qadisha+area%2C+Lebanon</x:v>
      </x:c>
      <x:c r="O174" s="26" t="str"/>
      <x:c r="P174" s="26" t="str">
        <x:v>2026-09-08</x:v>
      </x:c>
    </x:row>
    <x:row r="175">
      <x:c r="A175" s="26" t="n">
        <x:v>174</x:v>
      </x:c>
      <x:c r="B175" s="26" t="str">
        <x:v>Bsharri</x:v>
      </x:c>
      <x:c r="C175" s="26" t="str">
        <x:v>Bsharri / Cedars / Qadisha area</x:v>
      </x:c>
      <x:c r="D175" s="26" t="str">
        <x:v>Le Montagnard</x:v>
      </x:c>
      <x:c r="E175" s="26" t="str">
        <x:v>International / Lebanese</x:v>
      </x:c>
      <x:c r="F175" s="26" t="str">
        <x:v>Listed current</x:v>
      </x:c>
      <x:c r="G175" s="26" t="str"/>
      <x:c r="H175" s="28"/>
      <x:c r="I175" s="30"/>
      <x:c r="J175" s="26" t="str"/>
      <x:c r="K175" s="26" t="str">
        <x:v>High</x:v>
      </x:c>
      <x:c r="L175" s="26" t="str">
        <x:v>Current Bsharri town/municipal listing</x:v>
      </x:c>
      <x:c r="M175" s="26" t="str">
        <x:v>https://wenrayhin.com/en/towns/bsharri/food_drink</x:v>
      </x:c>
      <x:c r="N175" s="26" t="str">
        <x:v>https://www.google.com/maps/search/?api=1&amp;query=Le+Montagnard%2C+Bsharri+%2F+Cedars+%2F+Qadisha+area%2C+Lebanon</x:v>
      </x:c>
      <x:c r="O175" s="26" t="str"/>
      <x:c r="P175" s="26" t="str">
        <x:v>2026-09-08</x:v>
      </x:c>
    </x:row>
    <x:row r="176">
      <x:c r="A176" s="26" t="n">
        <x:v>175</x:v>
      </x:c>
      <x:c r="B176" s="26" t="str">
        <x:v>Bsharri</x:v>
      </x:c>
      <x:c r="C176" s="26" t="str">
        <x:v>Bsharri / Cedars / Qadisha area</x:v>
      </x:c>
      <x:c r="D176" s="26" t="str">
        <x:v>Mataam Al Jabal Samak</x:v>
      </x:c>
      <x:c r="E176" s="26" t="str">
        <x:v>Seafood</x:v>
      </x:c>
      <x:c r="F176" s="26" t="str">
        <x:v>Listed current</x:v>
      </x:c>
      <x:c r="G176" s="26" t="str"/>
      <x:c r="H176" s="28"/>
      <x:c r="I176" s="30"/>
      <x:c r="J176" s="26" t="str"/>
      <x:c r="K176" s="26" t="str">
        <x:v>High</x:v>
      </x:c>
      <x:c r="L176" s="26" t="str">
        <x:v>Current Bsharri town/municipal listing</x:v>
      </x:c>
      <x:c r="M176" s="26" t="str">
        <x:v>https://wenrayhin.com/en/towns/bsharri/food_drink</x:v>
      </x:c>
      <x:c r="N176" s="26" t="str">
        <x:v>https://www.google.com/maps/search/?api=1&amp;query=Mataam+Al+Jabal+Samak%2C+Bsharri+%2F+Cedars+%2F+Qadisha+area%2C+Lebanon</x:v>
      </x:c>
      <x:c r="O176" s="26" t="str"/>
      <x:c r="P176" s="26" t="str">
        <x:v>2026-09-08</x:v>
      </x:c>
    </x:row>
    <x:row r="177">
      <x:c r="A177" s="26" t="n">
        <x:v>176</x:v>
      </x:c>
      <x:c r="B177" s="26" t="str">
        <x:v>Bsharri</x:v>
      </x:c>
      <x:c r="C177" s="26" t="str">
        <x:v>Bsharri / Cedars / Qadisha area</x:v>
      </x:c>
      <x:c r="D177" s="26" t="str">
        <x:v>Raffoul TakeAway</x:v>
      </x:c>
      <x:c r="E177" s="26" t="str">
        <x:v>Restaurant</x:v>
      </x:c>
      <x:c r="F177" s="26" t="str">
        <x:v>Listed current</x:v>
      </x:c>
      <x:c r="G177" s="26" t="str"/>
      <x:c r="H177" s="28"/>
      <x:c r="I177" s="30"/>
      <x:c r="J177" s="26" t="str"/>
      <x:c r="K177" s="26" t="str">
        <x:v>High</x:v>
      </x:c>
      <x:c r="L177" s="26" t="str">
        <x:v>Current Bsharri town/municipal listing</x:v>
      </x:c>
      <x:c r="M177" s="26" t="str">
        <x:v>https://wenrayhin.com/en/towns/bsharri/food_drink</x:v>
      </x:c>
      <x:c r="N177" s="26" t="str">
        <x:v>https://www.google.com/maps/search/?api=1&amp;query=Raffoul+TakeAway%2C+Bsharri+%2F+Cedars+%2F+Qadisha+area%2C+Lebanon</x:v>
      </x:c>
      <x:c r="O177" s="26" t="str"/>
      <x:c r="P177" s="26" t="str">
        <x:v>2026-09-08</x:v>
      </x:c>
    </x:row>
    <x:row r="178">
      <x:c r="A178" s="26" t="n">
        <x:v>177</x:v>
      </x:c>
      <x:c r="B178" s="26" t="str">
        <x:v>Bsharri</x:v>
      </x:c>
      <x:c r="C178" s="26" t="str">
        <x:v>Bsharri / Cedars / Qadisha area</x:v>
      </x:c>
      <x:c r="D178" s="26" t="str">
        <x:v>Al Arze Restaurant</x:v>
      </x:c>
      <x:c r="E178" s="26" t="str">
        <x:v>Lebanese</x:v>
      </x:c>
      <x:c r="F178" s="26" t="str">
        <x:v>Listed current</x:v>
      </x:c>
      <x:c r="G178" s="26" t="str"/>
      <x:c r="H178" s="28"/>
      <x:c r="I178" s="30"/>
      <x:c r="J178" s="26" t="str"/>
      <x:c r="K178" s="26" t="str">
        <x:v>High</x:v>
      </x:c>
      <x:c r="L178" s="26" t="str">
        <x:v>Current Bsharri town/municipal listing</x:v>
      </x:c>
      <x:c r="M178" s="26" t="str">
        <x:v>https://website.bcharri.net/places/lebanon/north-lebanon/bcharri/restaurants/?lang=en</x:v>
      </x:c>
      <x:c r="N178" s="26" t="str">
        <x:v>https://www.google.com/maps/search/?api=1&amp;query=Al+Arze+Restaurant%2C+Bsharri+%2F+Cedars+%2F+Qadisha+area%2C+Lebanon</x:v>
      </x:c>
      <x:c r="O178" s="26" t="str"/>
      <x:c r="P178" s="26" t="str">
        <x:v>2026-09-08</x:v>
      </x:c>
    </x:row>
    <x:row r="179">
      <x:c r="A179" s="26" t="n">
        <x:v>178</x:v>
      </x:c>
      <x:c r="B179" s="26" t="str">
        <x:v>Bsharri</x:v>
      </x:c>
      <x:c r="C179" s="26" t="str">
        <x:v>Bsharri / Cedars / Qadisha area</x:v>
      </x:c>
      <x:c r="D179" s="26" t="str">
        <x:v>Ishana Restaurant</x:v>
      </x:c>
      <x:c r="E179" s="26" t="str">
        <x:v>Lebanese</x:v>
      </x:c>
      <x:c r="F179" s="26" t="str">
        <x:v>Listed current</x:v>
      </x:c>
      <x:c r="G179" s="26" t="str"/>
      <x:c r="H179" s="28"/>
      <x:c r="I179" s="30"/>
      <x:c r="J179" s="26" t="str"/>
      <x:c r="K179" s="26" t="str">
        <x:v>High</x:v>
      </x:c>
      <x:c r="L179" s="26" t="str">
        <x:v>Current Bsharri town/municipal listing</x:v>
      </x:c>
      <x:c r="M179" s="26" t="str">
        <x:v>https://website.bcharri.net/places/lebanon/north-lebanon/bcharri/restaurants/?lang=en</x:v>
      </x:c>
      <x:c r="N179" s="26" t="str">
        <x:v>https://www.google.com/maps/search/?api=1&amp;query=Ishana+Restaurant%2C+Bsharri+%2F+Cedars+%2F+Qadisha+area%2C+Lebanon</x:v>
      </x:c>
      <x:c r="O179" s="26" t="str"/>
      <x:c r="P179" s="26" t="str">
        <x:v>2026-09-08</x:v>
      </x:c>
    </x:row>
    <x:row r="180">
      <x:c r="A180" s="26" t="n">
        <x:v>179</x:v>
      </x:c>
      <x:c r="B180" s="26" t="str">
        <x:v>Bsharri</x:v>
      </x:c>
      <x:c r="C180" s="26" t="str">
        <x:v>Bsharri / Cedars / Qadisha area</x:v>
      </x:c>
      <x:c r="D180" s="26" t="str">
        <x:v>Chez Hani</x:v>
      </x:c>
      <x:c r="E180" s="26" t="str">
        <x:v>Restaurant</x:v>
      </x:c>
      <x:c r="F180" s="26" t="str">
        <x:v>Listed current</x:v>
      </x:c>
      <x:c r="G180" s="26" t="str"/>
      <x:c r="H180" s="28"/>
      <x:c r="I180" s="30"/>
      <x:c r="J180" s="26" t="str"/>
      <x:c r="K180" s="26" t="str">
        <x:v>High</x:v>
      </x:c>
      <x:c r="L180" s="26" t="str">
        <x:v>Current Bsharri town/municipal listing</x:v>
      </x:c>
      <x:c r="M180" s="26" t="str">
        <x:v>https://website.bcharri.net/places/lebanon/north-lebanon/bcharri/restaurants/?lang=en</x:v>
      </x:c>
      <x:c r="N180" s="26" t="str">
        <x:v>https://www.google.com/maps/search/?api=1&amp;query=Chez+Hani%2C+Bsharri+%2F+Cedars+%2F+Qadisha+area%2C+Lebanon</x:v>
      </x:c>
      <x:c r="O180" s="26" t="str"/>
      <x:c r="P180" s="26" t="str">
        <x:v>2026-09-08</x:v>
      </x:c>
    </x:row>
    <x:row r="181">
      <x:c r="A181" s="26" t="n">
        <x:v>180</x:v>
      </x:c>
      <x:c r="B181" s="26" t="str">
        <x:v>Bsharri</x:v>
      </x:c>
      <x:c r="C181" s="26" t="str">
        <x:v>Bsharri / Cedars / Qadisha area</x:v>
      </x:c>
      <x:c r="D181" s="26" t="str">
        <x:v>Kawkab Restaurant</x:v>
      </x:c>
      <x:c r="E181" s="26" t="str">
        <x:v>Lebanese</x:v>
      </x:c>
      <x:c r="F181" s="26" t="str">
        <x:v>Listed current</x:v>
      </x:c>
      <x:c r="G181" s="26" t="str"/>
      <x:c r="H181" s="28"/>
      <x:c r="I181" s="30"/>
      <x:c r="J181" s="26" t="str"/>
      <x:c r="K181" s="26" t="str">
        <x:v>High</x:v>
      </x:c>
      <x:c r="L181" s="26" t="str">
        <x:v>Current Bsharri town/municipal listing</x:v>
      </x:c>
      <x:c r="M181" s="26" t="str">
        <x:v>https://website.bcharri.net/places/lebanon/north-lebanon/bcharri/restaurants/?lang=en</x:v>
      </x:c>
      <x:c r="N181" s="26" t="str">
        <x:v>https://www.google.com/maps/search/?api=1&amp;query=Kawkab+Restaurant%2C+Bsharri+%2F+Cedars+%2F+Qadisha+area%2C+Lebanon</x:v>
      </x:c>
      <x:c r="O181" s="26" t="str"/>
      <x:c r="P181" s="26" t="str">
        <x:v>2026-09-08</x:v>
      </x:c>
    </x:row>
    <x:row r="182">
      <x:c r="A182" s="26" t="n">
        <x:v>181</x:v>
      </x:c>
      <x:c r="B182" s="26" t="str">
        <x:v>Bsharri</x:v>
      </x:c>
      <x:c r="C182" s="26" t="str">
        <x:v>Bsharri / Cedars / Qadisha area</x:v>
      </x:c>
      <x:c r="D182" s="26" t="str">
        <x:v>Jannat el Arez Restaurant</x:v>
      </x:c>
      <x:c r="E182" s="26" t="str">
        <x:v>Lebanese</x:v>
      </x:c>
      <x:c r="F182" s="26" t="str">
        <x:v>Listed current</x:v>
      </x:c>
      <x:c r="G182" s="26" t="str"/>
      <x:c r="H182" s="28"/>
      <x:c r="I182" s="30"/>
      <x:c r="J182" s="26" t="str"/>
      <x:c r="K182" s="26" t="str">
        <x:v>High</x:v>
      </x:c>
      <x:c r="L182" s="26" t="str">
        <x:v>Current Bsharri town/municipal listing</x:v>
      </x:c>
      <x:c r="M182" s="26" t="str">
        <x:v>https://website.bcharri.net/places/lebanon/north-lebanon/bcharri/restaurants/?lang=en</x:v>
      </x:c>
      <x:c r="N182" s="26" t="str">
        <x:v>https://www.google.com/maps/search/?api=1&amp;query=Jannat+el+Arez+Restaurant%2C+Bsharri+%2F+Cedars+%2F+Qadisha+area%2C+Lebanon</x:v>
      </x:c>
      <x:c r="O182" s="26" t="str"/>
      <x:c r="P182" s="26" t="str">
        <x:v>2026-09-08</x:v>
      </x:c>
    </x:row>
    <x:row r="183">
      <x:c r="A183" s="26" t="n">
        <x:v>182</x:v>
      </x:c>
      <x:c r="B183" s="26" t="str">
        <x:v>Bsharri</x:v>
      </x:c>
      <x:c r="C183" s="26" t="str">
        <x:v>Bsharri / Cedars / Qadisha area</x:v>
      </x:c>
      <x:c r="D183" s="26" t="str">
        <x:v>La Caverne Restaurant</x:v>
      </x:c>
      <x:c r="E183" s="26" t="str">
        <x:v>Restaurant</x:v>
      </x:c>
      <x:c r="F183" s="26" t="str">
        <x:v>Listed current</x:v>
      </x:c>
      <x:c r="G183" s="26" t="str"/>
      <x:c r="H183" s="28"/>
      <x:c r="I183" s="30"/>
      <x:c r="J183" s="26" t="str"/>
      <x:c r="K183" s="26" t="str">
        <x:v>High</x:v>
      </x:c>
      <x:c r="L183" s="26" t="str">
        <x:v>Current Bsharri town/municipal listing</x:v>
      </x:c>
      <x:c r="M183" s="26" t="str">
        <x:v>https://website.bcharri.net/places/lebanon/north-lebanon/bcharri/restaurants/page/2/?lang=en</x:v>
      </x:c>
      <x:c r="N183" s="26" t="str">
        <x:v>https://www.google.com/maps/search/?api=1&amp;query=La+Caverne+Restaurant%2C+Bsharri+%2F+Cedars+%2F+Qadisha+area%2C+Lebanon</x:v>
      </x:c>
      <x:c r="O183" s="26" t="str"/>
      <x:c r="P183" s="26" t="str">
        <x:v>2026-09-08</x:v>
      </x:c>
    </x:row>
    <x:row r="184">
      <x:c r="A184" s="26" t="n">
        <x:v>183</x:v>
      </x:c>
      <x:c r="B184" s="26" t="str">
        <x:v>Bsharri</x:v>
      </x:c>
      <x:c r="C184" s="26" t="str">
        <x:v>Bsharri / Cedars / Qadisha area</x:v>
      </x:c>
      <x:c r="D184" s="26" t="str">
        <x:v>Restaurant Sabbagh</x:v>
      </x:c>
      <x:c r="E184" s="26" t="str">
        <x:v>Restaurant</x:v>
      </x:c>
      <x:c r="F184" s="26" t="str">
        <x:v>Listed current</x:v>
      </x:c>
      <x:c r="G184" s="26" t="str"/>
      <x:c r="H184" s="28"/>
      <x:c r="I184" s="30"/>
      <x:c r="J184" s="26" t="str"/>
      <x:c r="K184" s="26" t="str">
        <x:v>High</x:v>
      </x:c>
      <x:c r="L184" s="26" t="str">
        <x:v>Current Bsharri town/municipal listing</x:v>
      </x:c>
      <x:c r="M184" s="26" t="str">
        <x:v>https://website.bcharri.net/places/lebanon/north-lebanon/bcharri/restaurants/page/2/?lang=en</x:v>
      </x:c>
      <x:c r="N184" s="26" t="str">
        <x:v>https://www.google.com/maps/search/?api=1&amp;query=Restaurant+Sabbagh%2C+Bsharri+%2F+Cedars+%2F+Qadisha+area%2C+Lebanon</x:v>
      </x:c>
      <x:c r="O184" s="26" t="str"/>
      <x:c r="P184" s="26" t="str">
        <x:v>2026-09-08</x:v>
      </x:c>
    </x:row>
    <x:row r="185">
      <x:c r="A185" s="26" t="n">
        <x:v>184</x:v>
      </x:c>
      <x:c r="B185" s="26" t="str">
        <x:v>Bsharri</x:v>
      </x:c>
      <x:c r="C185" s="26" t="str">
        <x:v>Bsharri / Cedars / Qadisha area</x:v>
      </x:c>
      <x:c r="D185" s="26" t="str">
        <x:v>Abou Joseph Restaurant</x:v>
      </x:c>
      <x:c r="E185" s="26" t="str">
        <x:v>Lebanese / Mediterranean</x:v>
      </x:c>
      <x:c r="F185" s="26" t="str">
        <x:v>Listed current</x:v>
      </x:c>
      <x:c r="G185" s="26" t="str"/>
      <x:c r="H185" s="28" t="n">
        <x:v>3.7</x:v>
      </x:c>
      <x:c r="I185" s="30" t="n">
        <x:v>26</x:v>
      </x:c>
      <x:c r="J185" s="26" t="str"/>
      <x:c r="K185" s="26" t="str">
        <x:v>Medium</x:v>
      </x:c>
      <x:c r="L185" s="26" t="str">
        <x:v>Tripadvisor Bsharri 2026 listing</x:v>
      </x:c>
      <x:c r="M185" s="26" t="str">
        <x:v>https://www.tripadvisor.com/Restaurants-g303981-Bcharre_North_Governorate.html</x:v>
      </x:c>
      <x:c r="N185" s="26" t="str">
        <x:v>https://www.google.com/maps/search/?api=1&amp;query=Abou+Joseph+Restaurant%2C+Bsharri+%2F+Cedars+%2F+Qadisha+area%2C+Lebanon</x:v>
      </x:c>
      <x:c r="O185" s="26" t="str"/>
      <x:c r="P185" s="26" t="str">
        <x:v>2026-09-08</x:v>
      </x:c>
    </x:row>
    <x:row r="186">
      <x:c r="A186" s="26" t="n">
        <x:v>185</x:v>
      </x:c>
      <x:c r="B186" s="26" t="str">
        <x:v>Bsharri</x:v>
      </x:c>
      <x:c r="C186" s="26" t="str">
        <x:v>Bsharri / Cedars / Qadisha area</x:v>
      </x:c>
      <x:c r="D186" s="26" t="str">
        <x:v>Al Nawrage</x:v>
      </x:c>
      <x:c r="E186" s="26" t="str">
        <x:v>Lebanese / Mediterranean</x:v>
      </x:c>
      <x:c r="F186" s="26" t="str">
        <x:v>Listed current</x:v>
      </x:c>
      <x:c r="G186" s="26" t="str"/>
      <x:c r="H186" s="28" t="n">
        <x:v>5</x:v>
      </x:c>
      <x:c r="I186" s="30" t="n">
        <x:v>5</x:v>
      </x:c>
      <x:c r="J186" s="26" t="str"/>
      <x:c r="K186" s="26" t="str">
        <x:v>Medium</x:v>
      </x:c>
      <x:c r="L186" s="26" t="str">
        <x:v>Tripadvisor Bsharri 2026 listing</x:v>
      </x:c>
      <x:c r="M186" s="26" t="str">
        <x:v>https://www.tripadvisor.com/Restaurants-g303981-Bcharre_North_Governorate.html</x:v>
      </x:c>
      <x:c r="N186" s="26" t="str">
        <x:v>https://www.google.com/maps/search/?api=1&amp;query=Al+Nawrage%2C+Bsharri+%2F+Cedars+%2F+Qadisha+area%2C+Lebanon</x:v>
      </x:c>
      <x:c r="O186" s="26" t="str"/>
      <x:c r="P186" s="26" t="str">
        <x:v>2026-09-08</x:v>
      </x:c>
    </x:row>
    <x:row r="187">
      <x:c r="A187" s="26" t="n">
        <x:v>186</x:v>
      </x:c>
      <x:c r="B187" s="26" t="str">
        <x:v>Bsharri</x:v>
      </x:c>
      <x:c r="C187" s="26" t="str">
        <x:v>Bsharri / Cedars / Qadisha area</x:v>
      </x:c>
      <x:c r="D187" s="26" t="str">
        <x:v>L Bayt Baytak</x:v>
      </x:c>
      <x:c r="E187" s="26" t="str">
        <x:v>Lebanese / pizza</x:v>
      </x:c>
      <x:c r="F187" s="26" t="str">
        <x:v>Listed current</x:v>
      </x:c>
      <x:c r="G187" s="26" t="str"/>
      <x:c r="H187" s="28"/>
      <x:c r="I187" s="30"/>
      <x:c r="J187" s="26" t="str"/>
      <x:c r="K187" s="26" t="str">
        <x:v>Medium</x:v>
      </x:c>
      <x:c r="L187" s="26" t="str">
        <x:v>Tripadvisor Bsharri 2026 listing</x:v>
      </x:c>
      <x:c r="M187" s="26" t="str">
        <x:v>https://www.tripadvisor.com/Restaurants-g303981-Bcharre_North_Governorate.html</x:v>
      </x:c>
      <x:c r="N187" s="26" t="str">
        <x:v>https://www.google.com/maps/search/?api=1&amp;query=L+Bayt+Baytak%2C+Bsharri+%2F+Cedars+%2F+Qadisha+area%2C+Lebanon</x:v>
      </x:c>
      <x:c r="O187" s="26" t="str"/>
      <x:c r="P187" s="26" t="str">
        <x:v>2026-09-08</x:v>
      </x:c>
    </x:row>
    <x:row r="188">
      <x:c r="A188" s="26" t="n">
        <x:v>187</x:v>
      </x:c>
      <x:c r="B188" s="26" t="str">
        <x:v>Bsharri</x:v>
      </x:c>
      <x:c r="C188" s="26" t="str">
        <x:v>Bsharri / Cedars / Qadisha area</x:v>
      </x:c>
      <x:c r="D188" s="26" t="str">
        <x:v>The Green Land Restaurant</x:v>
      </x:c>
      <x:c r="E188" s="26" t="str">
        <x:v>Lebanese</x:v>
      </x:c>
      <x:c r="F188" s="26" t="str">
        <x:v>Listed current</x:v>
      </x:c>
      <x:c r="G188" s="26" t="str"/>
      <x:c r="H188" s="28"/>
      <x:c r="I188" s="30"/>
      <x:c r="J188" s="26" t="str"/>
      <x:c r="K188" s="26" t="str">
        <x:v>High</x:v>
      </x:c>
      <x:c r="L188" s="26" t="str">
        <x:v>Current Bsharri town/municipal listing</x:v>
      </x:c>
      <x:c r="M188" s="26" t="str">
        <x:v>https://restaurantguru.com/The-Green-Land-Restaurant-Bsharri</x:v>
      </x:c>
      <x:c r="N188" s="26" t="str">
        <x:v>https://www.google.com/maps/search/?api=1&amp;query=The+Green+Land+Restaurant%2C+Bsharri+%2F+Cedars+%2F+Qadisha+area%2C+Lebanon</x:v>
      </x:c>
      <x:c r="O188" s="26" t="str"/>
      <x:c r="P188" s="26" t="str">
        <x:v>2026-09-08</x:v>
      </x:c>
    </x:row>
    <x:row r="189">
      <x:c r="A189" s="26" t="n">
        <x:v>188</x:v>
      </x:c>
      <x:c r="B189" s="26" t="str">
        <x:v>Bsharri</x:v>
      </x:c>
      <x:c r="C189" s="26" t="str">
        <x:v>Bsharri Square</x:v>
      </x:c>
      <x:c r="D189" s="26" t="str">
        <x:v>FarmGrill</x:v>
      </x:c>
      <x:c r="E189" s="26" t="str">
        <x:v>Grill restaurant</x:v>
      </x:c>
      <x:c r="F189" s="26" t="str">
        <x:v>Listed current</x:v>
      </x:c>
      <x:c r="G189" s="26" t="str"/>
      <x:c r="H189" s="28"/>
      <x:c r="I189" s="30"/>
      <x:c r="J189" s="26" t="str"/>
      <x:c r="K189" s="26" t="str">
        <x:v>High</x:v>
      </x:c>
      <x:c r="L189" s="26" t="str">
        <x:v>Current Bsharri Square official listing</x:v>
      </x:c>
      <x:c r="M189" s="26" t="str">
        <x:v>https://bsharrisquare.com/</x:v>
      </x:c>
      <x:c r="N189" s="26" t="str">
        <x:v>https://www.google.com/maps/search/?api=1&amp;query=FarmGrill%2C+Bsharri+Square%2C+Lebanon</x:v>
      </x:c>
      <x:c r="O189" s="26" t="str"/>
      <x:c r="P189" s="26" t="str">
        <x:v>2026-09-08</x:v>
      </x:c>
    </x:row>
    <x:row r="190">
      <x:c r="A190" s="26" t="n">
        <x:v>189</x:v>
      </x:c>
      <x:c r="B190" s="26" t="str">
        <x:v>Bsharri</x:v>
      </x:c>
      <x:c r="C190" s="26" t="str">
        <x:v>Bsharri Square</x:v>
      </x:c>
      <x:c r="D190" s="26" t="str">
        <x:v>Feniqia at Bsharri Square</x:v>
      </x:c>
      <x:c r="E190" s="26" t="str">
        <x:v>Lebanese restaurant</x:v>
      </x:c>
      <x:c r="F190" s="26" t="str">
        <x:v>Listed current</x:v>
      </x:c>
      <x:c r="G190" s="26" t="str"/>
      <x:c r="H190" s="28"/>
      <x:c r="I190" s="30"/>
      <x:c r="J190" s="26" t="str"/>
      <x:c r="K190" s="26" t="str">
        <x:v>High</x:v>
      </x:c>
      <x:c r="L190" s="26" t="str">
        <x:v>Current Bsharri Square official listing</x:v>
      </x:c>
      <x:c r="M190" s="26" t="str">
        <x:v>https://bsharrisquare.com/</x:v>
      </x:c>
      <x:c r="N190" s="26" t="str">
        <x:v>https://www.google.com/maps/search/?api=1&amp;query=Feniqia+at+Bsharri+Square%2C+Bsharri+Square%2C+Lebanon</x:v>
      </x:c>
      <x:c r="O190" s="26" t="str"/>
      <x:c r="P190" s="26" t="str">
        <x:v>2026-09-08</x:v>
      </x:c>
    </x:row>
    <x:row r="191">
      <x:c r="A191" s="26" t="n">
        <x:v>190</x:v>
      </x:c>
      <x:c r="B191" s="26" t="str">
        <x:v>Bsharri</x:v>
      </x:c>
      <x:c r="C191" s="26" t="str">
        <x:v>Bsharri Square</x:v>
      </x:c>
      <x:c r="D191" s="26" t="str">
        <x:v>Malak Al Taouk - Bsharri Square</x:v>
      </x:c>
      <x:c r="E191" s="26" t="str">
        <x:v>Chicken / fast food</x:v>
      </x:c>
      <x:c r="F191" s="26" t="str">
        <x:v>Listed current</x:v>
      </x:c>
      <x:c r="G191" s="26" t="str"/>
      <x:c r="H191" s="28"/>
      <x:c r="I191" s="30"/>
      <x:c r="J191" s="26" t="str"/>
      <x:c r="K191" s="26" t="str">
        <x:v>High</x:v>
      </x:c>
      <x:c r="L191" s="26" t="str">
        <x:v>Current Bsharri Square official listing</x:v>
      </x:c>
      <x:c r="M191" s="26" t="str">
        <x:v>https://bsharrisquare.com/</x:v>
      </x:c>
      <x:c r="N191" s="26" t="str">
        <x:v>https://www.google.com/maps/search/?api=1&amp;query=Malak+Al+Taouk+-+Bsharri+Square%2C+Bsharri+Square%2C+Lebanon</x:v>
      </x:c>
      <x:c r="O191" s="26" t="str"/>
      <x:c r="P191" s="26" t="str">
        <x:v>2026-09-08</x:v>
      </x:c>
    </x:row>
    <x:row r="192">
      <x:c r="A192" s="26" t="n">
        <x:v>191</x:v>
      </x:c>
      <x:c r="B192" s="26" t="str">
        <x:v>Bsharri</x:v>
      </x:c>
      <x:c r="C192" s="26" t="str">
        <x:v>Bsharri Square</x:v>
      </x:c>
      <x:c r="D192" s="26" t="str">
        <x:v>Samarula</x:v>
      </x:c>
      <x:c r="E192" s="26" t="str">
        <x:v>Restaurant</x:v>
      </x:c>
      <x:c r="F192" s="26" t="str">
        <x:v>Listed current</x:v>
      </x:c>
      <x:c r="G192" s="26" t="str"/>
      <x:c r="H192" s="28"/>
      <x:c r="I192" s="30"/>
      <x:c r="J192" s="26" t="str"/>
      <x:c r="K192" s="26" t="str">
        <x:v>High</x:v>
      </x:c>
      <x:c r="L192" s="26" t="str">
        <x:v>Current Bsharri Square official listing</x:v>
      </x:c>
      <x:c r="M192" s="26" t="str">
        <x:v>https://bsharrisquare.com/</x:v>
      </x:c>
      <x:c r="N192" s="26" t="str">
        <x:v>https://www.google.com/maps/search/?api=1&amp;query=Samarula%2C+Bsharri+Square%2C+Lebanon</x:v>
      </x:c>
      <x:c r="O192" s="26" t="str"/>
      <x:c r="P192" s="26" t="str">
        <x:v>2026-09-08</x:v>
      </x:c>
    </x:row>
    <x:row r="193">
      <x:c r="A193" s="26" t="n">
        <x:v>192</x:v>
      </x:c>
      <x:c r="B193" s="26" t="str">
        <x:v>Bsharri</x:v>
      </x:c>
      <x:c r="C193" s="26" t="str">
        <x:v>Bsharri Square</x:v>
      </x:c>
      <x:c r="D193" s="26" t="str">
        <x:v>Trattoria Romana</x:v>
      </x:c>
      <x:c r="E193" s="26" t="str">
        <x:v>Italian</x:v>
      </x:c>
      <x:c r="F193" s="26" t="str">
        <x:v>Listed current</x:v>
      </x:c>
      <x:c r="G193" s="26" t="str"/>
      <x:c r="H193" s="28"/>
      <x:c r="I193" s="30"/>
      <x:c r="J193" s="26" t="str"/>
      <x:c r="K193" s="26" t="str">
        <x:v>High</x:v>
      </x:c>
      <x:c r="L193" s="26" t="str">
        <x:v>Current Bsharri Square official listing</x:v>
      </x:c>
      <x:c r="M193" s="26" t="str">
        <x:v>https://bsharrisquare.com/</x:v>
      </x:c>
      <x:c r="N193" s="26" t="str">
        <x:v>https://www.google.com/maps/search/?api=1&amp;query=Trattoria+Romana%2C+Bsharri+Square%2C+Lebanon</x:v>
      </x:c>
      <x:c r="O193" s="26" t="str"/>
      <x:c r="P193" s="26" t="str">
        <x:v>2026-09-08</x:v>
      </x:c>
    </x:row>
    <x:row r="194">
      <x:c r="A194" s="26" t="n">
        <x:v>193</x:v>
      </x:c>
      <x:c r="B194" s="26" t="str">
        <x:v>Akkar</x:v>
      </x:c>
      <x:c r="C194" s="26" t="str">
        <x:v>Halba</x:v>
      </x:c>
      <x:c r="D194" s="26" t="str">
        <x:v>Alakkoumi Chicken</x:v>
      </x:c>
      <x:c r="E194" s="26" t="str">
        <x:v>Chicken restaurant</x:v>
      </x:c>
      <x:c r="F194" s="26" t="str">
        <x:v>Listed current</x:v>
      </x:c>
      <x:c r="G194" s="26" t="str"/>
      <x:c r="H194" s="28"/>
      <x:c r="I194" s="30"/>
      <x:c r="J194" s="26" t="str"/>
      <x:c r="K194" s="26" t="str">
        <x:v>High</x:v>
      </x:c>
      <x:c r="L194" s="26" t="str">
        <x:v>Current Halba town listing — listed open on Google</x:v>
      </x:c>
      <x:c r="M194" s="26" t="str">
        <x:v>https://wenrayhin.com/en/towns/halba/food_drink</x:v>
      </x:c>
      <x:c r="N194" s="26" t="str">
        <x:v>https://www.google.com/maps/search/?api=1&amp;query=Alakkoumi+Chicken%2C+Halba%2C+Lebanon</x:v>
      </x:c>
      <x:c r="O194" s="26" t="str"/>
      <x:c r="P194" s="26" t="str">
        <x:v>2026-09-08</x:v>
      </x:c>
    </x:row>
    <x:row r="195">
      <x:c r="A195" s="26" t="n">
        <x:v>194</x:v>
      </x:c>
      <x:c r="B195" s="26" t="str">
        <x:v>Akkar</x:v>
      </x:c>
      <x:c r="C195" s="26" t="str">
        <x:v>Halba</x:v>
      </x:c>
      <x:c r="D195" s="26" t="str">
        <x:v>Al Naboot Poultry</x:v>
      </x:c>
      <x:c r="E195" s="26" t="str">
        <x:v>Chicken restaurant</x:v>
      </x:c>
      <x:c r="F195" s="26" t="str">
        <x:v>Listed current</x:v>
      </x:c>
      <x:c r="G195" s="26" t="str"/>
      <x:c r="H195" s="28"/>
      <x:c r="I195" s="30"/>
      <x:c r="J195" s="26" t="str"/>
      <x:c r="K195" s="26" t="str">
        <x:v>High</x:v>
      </x:c>
      <x:c r="L195" s="26" t="str">
        <x:v>Current Halba town listing — listed open on Google</x:v>
      </x:c>
      <x:c r="M195" s="26" t="str">
        <x:v>https://wenrayhin.com/en/towns/halba/food_drink</x:v>
      </x:c>
      <x:c r="N195" s="26" t="str">
        <x:v>https://www.google.com/maps/search/?api=1&amp;query=Al+Naboot+Poultry%2C+Halba%2C+Lebanon</x:v>
      </x:c>
      <x:c r="O195" s="26" t="str"/>
      <x:c r="P195" s="26" t="str">
        <x:v>2026-09-08</x:v>
      </x:c>
    </x:row>
    <x:row r="196">
      <x:c r="A196" s="26" t="n">
        <x:v>195</x:v>
      </x:c>
      <x:c r="B196" s="26" t="str">
        <x:v>Akkar</x:v>
      </x:c>
      <x:c r="C196" s="26" t="str">
        <x:v>Halba</x:v>
      </x:c>
      <x:c r="D196" s="26" t="str">
        <x:v>Al Nahas Restaurant</x:v>
      </x:c>
      <x:c r="E196" s="26" t="str">
        <x:v>Restaurant</x:v>
      </x:c>
      <x:c r="F196" s="26" t="str">
        <x:v>Listed current</x:v>
      </x:c>
      <x:c r="G196" s="26" t="str"/>
      <x:c r="H196" s="28"/>
      <x:c r="I196" s="30"/>
      <x:c r="J196" s="26" t="str"/>
      <x:c r="K196" s="26" t="str">
        <x:v>High</x:v>
      </x:c>
      <x:c r="L196" s="26" t="str">
        <x:v>Current Halba town listing — listed open on Google</x:v>
      </x:c>
      <x:c r="M196" s="26" t="str">
        <x:v>https://wenrayhin.com/en/towns/halba/food_drink</x:v>
      </x:c>
      <x:c r="N196" s="26" t="str">
        <x:v>https://www.google.com/maps/search/?api=1&amp;query=Al+Nahas+Restaurant%2C+Halba%2C+Lebanon</x:v>
      </x:c>
      <x:c r="O196" s="26" t="str"/>
      <x:c r="P196" s="26" t="str">
        <x:v>2026-09-08</x:v>
      </x:c>
    </x:row>
    <x:row r="197">
      <x:c r="A197" s="26" t="n">
        <x:v>196</x:v>
      </x:c>
      <x:c r="B197" s="26" t="str">
        <x:v>Akkar</x:v>
      </x:c>
      <x:c r="C197" s="26" t="str">
        <x:v>Halba</x:v>
      </x:c>
      <x:c r="D197" s="26" t="str">
        <x:v>Al Youssef Pastries</x:v>
      </x:c>
      <x:c r="E197" s="26" t="str">
        <x:v>Restaurant / pastries</x:v>
      </x:c>
      <x:c r="F197" s="26" t="str">
        <x:v>Listed current</x:v>
      </x:c>
      <x:c r="G197" s="26" t="str"/>
      <x:c r="H197" s="28"/>
      <x:c r="I197" s="30"/>
      <x:c r="J197" s="26" t="str"/>
      <x:c r="K197" s="26" t="str">
        <x:v>High</x:v>
      </x:c>
      <x:c r="L197" s="26" t="str">
        <x:v>Current Halba town listing — listed open on Google</x:v>
      </x:c>
      <x:c r="M197" s="26" t="str">
        <x:v>https://wenrayhin.com/en/towns/halba/food_drink</x:v>
      </x:c>
      <x:c r="N197" s="26" t="str">
        <x:v>https://www.google.com/maps/search/?api=1&amp;query=Al+Youssef+Pastries%2C+Halba%2C+Lebanon</x:v>
      </x:c>
      <x:c r="O197" s="26" t="str"/>
      <x:c r="P197" s="26" t="str">
        <x:v>2026-09-08</x:v>
      </x:c>
    </x:row>
    <x:row r="198">
      <x:c r="A198" s="26" t="n">
        <x:v>197</x:v>
      </x:c>
      <x:c r="B198" s="26" t="str">
        <x:v>Akkar</x:v>
      </x:c>
      <x:c r="C198" s="26" t="str">
        <x:v>Halba</x:v>
      </x:c>
      <x:c r="D198" s="26" t="str">
        <x:v>Amo Kabbaji</x:v>
      </x:c>
      <x:c r="E198" s="26" t="str">
        <x:v>Restaurant</x:v>
      </x:c>
      <x:c r="F198" s="26" t="str">
        <x:v>Listed current</x:v>
      </x:c>
      <x:c r="G198" s="26" t="str"/>
      <x:c r="H198" s="28"/>
      <x:c r="I198" s="30"/>
      <x:c r="J198" s="26" t="str"/>
      <x:c r="K198" s="26" t="str">
        <x:v>High</x:v>
      </x:c>
      <x:c r="L198" s="26" t="str">
        <x:v>Current Halba town listing — listed open on Google</x:v>
      </x:c>
      <x:c r="M198" s="26" t="str">
        <x:v>https://wenrayhin.com/en/towns/halba/food_drink</x:v>
      </x:c>
      <x:c r="N198" s="26" t="str">
        <x:v>https://www.google.com/maps/search/?api=1&amp;query=Amo+Kabbaji%2C+Halba%2C+Lebanon</x:v>
      </x:c>
      <x:c r="O198" s="26" t="str"/>
      <x:c r="P198" s="26" t="str">
        <x:v>2026-09-08</x:v>
      </x:c>
    </x:row>
    <x:row r="199">
      <x:c r="A199" s="26" t="n">
        <x:v>198</x:v>
      </x:c>
      <x:c r="B199" s="26" t="str">
        <x:v>Akkar</x:v>
      </x:c>
      <x:c r="C199" s="26" t="str">
        <x:v>Halba</x:v>
      </x:c>
      <x:c r="D199" s="26" t="str">
        <x:v>Bakkar Chicken</x:v>
      </x:c>
      <x:c r="E199" s="26" t="str">
        <x:v>Street food / chicken</x:v>
      </x:c>
      <x:c r="F199" s="26" t="str">
        <x:v>Listed current</x:v>
      </x:c>
      <x:c r="G199" s="26" t="str"/>
      <x:c r="H199" s="28"/>
      <x:c r="I199" s="30"/>
      <x:c r="J199" s="26" t="str"/>
      <x:c r="K199" s="26" t="str">
        <x:v>High</x:v>
      </x:c>
      <x:c r="L199" s="26" t="str">
        <x:v>Current Halba town listing — listed open on Google</x:v>
      </x:c>
      <x:c r="M199" s="26" t="str">
        <x:v>https://wenrayhin.com/en/towns/halba/food_drink</x:v>
      </x:c>
      <x:c r="N199" s="26" t="str">
        <x:v>https://www.google.com/maps/search/?api=1&amp;query=Bakkar+Chicken%2C+Halba%2C+Lebanon</x:v>
      </x:c>
      <x:c r="O199" s="26" t="str"/>
      <x:c r="P199" s="26" t="str">
        <x:v>2026-09-08</x:v>
      </x:c>
    </x:row>
    <x:row r="200">
      <x:c r="A200" s="26" t="n">
        <x:v>199</x:v>
      </x:c>
      <x:c r="B200" s="26" t="str">
        <x:v>Akkar</x:v>
      </x:c>
      <x:c r="C200" s="26" t="str">
        <x:v>Halba</x:v>
      </x:c>
      <x:c r="D200" s="26" t="str">
        <x:v>Chakkour-Daas Center</x:v>
      </x:c>
      <x:c r="E200" s="26" t="str">
        <x:v>Restaurant</x:v>
      </x:c>
      <x:c r="F200" s="26" t="str">
        <x:v>Listed current</x:v>
      </x:c>
      <x:c r="G200" s="26" t="str"/>
      <x:c r="H200" s="28"/>
      <x:c r="I200" s="30"/>
      <x:c r="J200" s="26" t="str"/>
      <x:c r="K200" s="26" t="str">
        <x:v>High</x:v>
      </x:c>
      <x:c r="L200" s="26" t="str">
        <x:v>Current Halba town listing — listed open on Google</x:v>
      </x:c>
      <x:c r="M200" s="26" t="str">
        <x:v>https://wenrayhin.com/en/towns/halba/food_drink</x:v>
      </x:c>
      <x:c r="N200" s="26" t="str">
        <x:v>https://www.google.com/maps/search/?api=1&amp;query=Chakkour-Daas+Center%2C+Halba%2C+Lebanon</x:v>
      </x:c>
      <x:c r="O200" s="26" t="str"/>
      <x:c r="P200" s="26" t="str">
        <x:v>2026-09-08</x:v>
      </x:c>
    </x:row>
    <x:row r="201">
      <x:c r="A201" s="26" t="n">
        <x:v>200</x:v>
      </x:c>
      <x:c r="B201" s="26" t="str">
        <x:v>Akkar</x:v>
      </x:c>
      <x:c r="C201" s="26" t="str">
        <x:v>Halba</x:v>
      </x:c>
      <x:c r="D201" s="26" t="str">
        <x:v>Crunchyz Burgers</x:v>
      </x:c>
      <x:c r="E201" s="26" t="str">
        <x:v>Burger / street food</x:v>
      </x:c>
      <x:c r="F201" s="26" t="str">
        <x:v>Listed current</x:v>
      </x:c>
      <x:c r="G201" s="26" t="str"/>
      <x:c r="H201" s="28"/>
      <x:c r="I201" s="30"/>
      <x:c r="J201" s="26" t="str"/>
      <x:c r="K201" s="26" t="str">
        <x:v>High</x:v>
      </x:c>
      <x:c r="L201" s="26" t="str">
        <x:v>Current Halba town listing — listed open on Google</x:v>
      </x:c>
      <x:c r="M201" s="26" t="str">
        <x:v>https://wenrayhin.com/en/towns/halba/food_drink</x:v>
      </x:c>
      <x:c r="N201" s="26" t="str">
        <x:v>https://www.google.com/maps/search/?api=1&amp;query=Crunchyz+Burgers%2C+Halba%2C+Lebanon</x:v>
      </x:c>
      <x:c r="O201" s="26" t="str"/>
      <x:c r="P201" s="26" t="str">
        <x:v>2026-09-08</x:v>
      </x:c>
    </x:row>
    <x:row r="202">
      <x:c r="A202" s="26" t="n">
        <x:v>201</x:v>
      </x:c>
      <x:c r="B202" s="26" t="str">
        <x:v>Akkar</x:v>
      </x:c>
      <x:c r="C202" s="26" t="str">
        <x:v>Halba</x:v>
      </x:c>
      <x:c r="D202" s="26" t="str">
        <x:v>Delicious Fast Food</x:v>
      </x:c>
      <x:c r="E202" s="26" t="str">
        <x:v>Fast food</x:v>
      </x:c>
      <x:c r="F202" s="26" t="str">
        <x:v>Listed current</x:v>
      </x:c>
      <x:c r="G202" s="26" t="str"/>
      <x:c r="H202" s="28"/>
      <x:c r="I202" s="30"/>
      <x:c r="J202" s="26" t="str"/>
      <x:c r="K202" s="26" t="str">
        <x:v>High</x:v>
      </x:c>
      <x:c r="L202" s="26" t="str">
        <x:v>Current Halba town listing — listed open on Google</x:v>
      </x:c>
      <x:c r="M202" s="26" t="str">
        <x:v>https://wenrayhin.com/en/towns/halba/food_drink</x:v>
      </x:c>
      <x:c r="N202" s="26" t="str">
        <x:v>https://www.google.com/maps/search/?api=1&amp;query=Delicious+Fast+Food%2C+Halba%2C+Lebanon</x:v>
      </x:c>
      <x:c r="O202" s="26" t="str"/>
      <x:c r="P202" s="26" t="str">
        <x:v>2026-09-08</x:v>
      </x:c>
    </x:row>
    <x:row r="203">
      <x:c r="A203" s="26" t="n">
        <x:v>202</x:v>
      </x:c>
      <x:c r="B203" s="26" t="str">
        <x:v>Akkar</x:v>
      </x:c>
      <x:c r="C203" s="26" t="str">
        <x:v>Halba</x:v>
      </x:c>
      <x:c r="D203" s="26" t="str">
        <x:v>Dib Chicken</x:v>
      </x:c>
      <x:c r="E203" s="26" t="str">
        <x:v>Chicken restaurant</x:v>
      </x:c>
      <x:c r="F203" s="26" t="str">
        <x:v>Listed current</x:v>
      </x:c>
      <x:c r="G203" s="26" t="str"/>
      <x:c r="H203" s="28"/>
      <x:c r="I203" s="30"/>
      <x:c r="J203" s="26" t="str"/>
      <x:c r="K203" s="26" t="str">
        <x:v>High</x:v>
      </x:c>
      <x:c r="L203" s="26" t="str">
        <x:v>Current Halba town listing — listed open on Google</x:v>
      </x:c>
      <x:c r="M203" s="26" t="str">
        <x:v>https://wenrayhin.com/en/towns/halba/food_drink</x:v>
      </x:c>
      <x:c r="N203" s="26" t="str">
        <x:v>https://www.google.com/maps/search/?api=1&amp;query=Dib+Chicken%2C+Halba%2C+Lebanon</x:v>
      </x:c>
      <x:c r="O203" s="26" t="str"/>
      <x:c r="P203" s="26" t="str">
        <x:v>2026-09-08</x:v>
      </x:c>
    </x:row>
    <x:row r="204">
      <x:c r="A204" s="26" t="n">
        <x:v>203</x:v>
      </x:c>
      <x:c r="B204" s="26" t="str">
        <x:v>Akkar</x:v>
      </x:c>
      <x:c r="C204" s="26" t="str">
        <x:v>Halba</x:v>
      </x:c>
      <x:c r="D204" s="26" t="str">
        <x:v>EXOTIC SUSHI LB</x:v>
      </x:c>
      <x:c r="E204" s="26" t="str">
        <x:v>Sushi restaurant</x:v>
      </x:c>
      <x:c r="F204" s="26" t="str">
        <x:v>Listed current</x:v>
      </x:c>
      <x:c r="G204" s="26" t="str"/>
      <x:c r="H204" s="28"/>
      <x:c r="I204" s="30"/>
      <x:c r="J204" s="26" t="str"/>
      <x:c r="K204" s="26" t="str">
        <x:v>High</x:v>
      </x:c>
      <x:c r="L204" s="26" t="str">
        <x:v>Current Halba town listing — listed open on Google</x:v>
      </x:c>
      <x:c r="M204" s="26" t="str">
        <x:v>https://wenrayhin.com/en/towns/halba/food_drink</x:v>
      </x:c>
      <x:c r="N204" s="26" t="str">
        <x:v>https://www.google.com/maps/search/?api=1&amp;query=EXOTIC+SUSHI+LB%2C+Halba%2C+Lebanon</x:v>
      </x:c>
      <x:c r="O204" s="26" t="str"/>
      <x:c r="P204" s="26" t="str">
        <x:v>2026-09-08</x:v>
      </x:c>
    </x:row>
    <x:row r="205">
      <x:c r="A205" s="26" t="n">
        <x:v>204</x:v>
      </x:c>
      <x:c r="B205" s="26" t="str">
        <x:v>Akkar</x:v>
      </x:c>
      <x:c r="C205" s="26" t="str">
        <x:v>Halba</x:v>
      </x:c>
      <x:c r="D205" s="26" t="str">
        <x:v>Fahita House</x:v>
      </x:c>
      <x:c r="E205" s="26" t="str">
        <x:v>Restaurant</x:v>
      </x:c>
      <x:c r="F205" s="26" t="str">
        <x:v>Listed current</x:v>
      </x:c>
      <x:c r="G205" s="26" t="str"/>
      <x:c r="H205" s="28"/>
      <x:c r="I205" s="30"/>
      <x:c r="J205" s="26" t="str"/>
      <x:c r="K205" s="26" t="str">
        <x:v>High</x:v>
      </x:c>
      <x:c r="L205" s="26" t="str">
        <x:v>Current Halba town listing — listed open on Google</x:v>
      </x:c>
      <x:c r="M205" s="26" t="str">
        <x:v>https://wenrayhin.com/en/towns/halba/food_drink</x:v>
      </x:c>
      <x:c r="N205" s="26" t="str">
        <x:v>https://www.google.com/maps/search/?api=1&amp;query=Fahita+House%2C+Halba%2C+Lebanon</x:v>
      </x:c>
      <x:c r="O205" s="26" t="str"/>
      <x:c r="P205" s="26" t="str">
        <x:v>2026-09-08</x:v>
      </x:c>
    </x:row>
    <x:row r="206">
      <x:c r="A206" s="26" t="n">
        <x:v>205</x:v>
      </x:c>
      <x:c r="B206" s="26" t="str">
        <x:v>Akkar</x:v>
      </x:c>
      <x:c r="C206" s="26" t="str">
        <x:v>Halba</x:v>
      </x:c>
      <x:c r="D206" s="26" t="str">
        <x:v>Ghalaal Kfarhara</x:v>
      </x:c>
      <x:c r="E206" s="26" t="str">
        <x:v>Restaurant</x:v>
      </x:c>
      <x:c r="F206" s="26" t="str">
        <x:v>Listed current</x:v>
      </x:c>
      <x:c r="G206" s="26" t="str"/>
      <x:c r="H206" s="28"/>
      <x:c r="I206" s="30"/>
      <x:c r="J206" s="26" t="str"/>
      <x:c r="K206" s="26" t="str">
        <x:v>High</x:v>
      </x:c>
      <x:c r="L206" s="26" t="str">
        <x:v>Current Halba town listing — listed open on Google</x:v>
      </x:c>
      <x:c r="M206" s="26" t="str">
        <x:v>https://wenrayhin.com/en/towns/halba/food_drink</x:v>
      </x:c>
      <x:c r="N206" s="26" t="str">
        <x:v>https://www.google.com/maps/search/?api=1&amp;query=Ghalaal+Kfarhara%2C+Halba%2C+Lebanon</x:v>
      </x:c>
      <x:c r="O206" s="26" t="str"/>
      <x:c r="P206" s="26" t="str">
        <x:v>2026-09-08</x:v>
      </x:c>
    </x:row>
    <x:row r="207">
      <x:c r="A207" s="26" t="n">
        <x:v>206</x:v>
      </x:c>
      <x:c r="B207" s="26" t="str">
        <x:v>Akkar</x:v>
      </x:c>
      <x:c r="C207" s="26" t="str">
        <x:v>Halba</x:v>
      </x:c>
      <x:c r="D207" s="26" t="str">
        <x:v>Halaweyat Al Montazah Akkar</x:v>
      </x:c>
      <x:c r="E207" s="26" t="str">
        <x:v>Restaurant</x:v>
      </x:c>
      <x:c r="F207" s="26" t="str">
        <x:v>Listed current</x:v>
      </x:c>
      <x:c r="G207" s="26" t="str"/>
      <x:c r="H207" s="28"/>
      <x:c r="I207" s="30"/>
      <x:c r="J207" s="26" t="str"/>
      <x:c r="K207" s="26" t="str">
        <x:v>High</x:v>
      </x:c>
      <x:c r="L207" s="26" t="str">
        <x:v>Current Halba town listing — listed open on Google</x:v>
      </x:c>
      <x:c r="M207" s="26" t="str">
        <x:v>https://wenrayhin.com/en/towns/halba/food_drink</x:v>
      </x:c>
      <x:c r="N207" s="26" t="str">
        <x:v>https://www.google.com/maps/search/?api=1&amp;query=Halaweyat+Al+Montazah+Akkar%2C+Halba%2C+Lebanon</x:v>
      </x:c>
      <x:c r="O207" s="26" t="str"/>
      <x:c r="P207" s="26" t="str">
        <x:v>2026-09-08</x:v>
      </x:c>
    </x:row>
    <x:row r="208">
      <x:c r="A208" s="26" t="n">
        <x:v>207</x:v>
      </x:c>
      <x:c r="B208" s="26" t="str">
        <x:v>Akkar</x:v>
      </x:c>
      <x:c r="C208" s="26" t="str">
        <x:v>Halba</x:v>
      </x:c>
      <x:c r="D208" s="26" t="str">
        <x:v>House Of 961</x:v>
      </x:c>
      <x:c r="E208" s="26" t="str">
        <x:v>Restaurant</x:v>
      </x:c>
      <x:c r="F208" s="26" t="str">
        <x:v>Listed current</x:v>
      </x:c>
      <x:c r="G208" s="26" t="str"/>
      <x:c r="H208" s="28"/>
      <x:c r="I208" s="30"/>
      <x:c r="J208" s="26" t="str"/>
      <x:c r="K208" s="26" t="str">
        <x:v>High</x:v>
      </x:c>
      <x:c r="L208" s="26" t="str">
        <x:v>Current Halba town listing — listed open on Google</x:v>
      </x:c>
      <x:c r="M208" s="26" t="str">
        <x:v>https://wenrayhin.com/en/towns/halba/food_drink</x:v>
      </x:c>
      <x:c r="N208" s="26" t="str">
        <x:v>https://www.google.com/maps/search/?api=1&amp;query=House+Of+961%2C+Halba%2C+Lebanon</x:v>
      </x:c>
      <x:c r="O208" s="26" t="str"/>
      <x:c r="P208" s="26" t="str">
        <x:v>2026-09-08</x:v>
      </x:c>
    </x:row>
    <x:row r="209">
      <x:c r="A209" s="26" t="n">
        <x:v>208</x:v>
      </x:c>
      <x:c r="B209" s="26" t="str">
        <x:v>Akkar</x:v>
      </x:c>
      <x:c r="C209" s="26" t="str">
        <x:v>Halba</x:v>
      </x:c>
      <x:c r="D209" s="26" t="str">
        <x:v>Kaddour Snack</x:v>
      </x:c>
      <x:c r="E209" s="26" t="str">
        <x:v>Snack / restaurant</x:v>
      </x:c>
      <x:c r="F209" s="26" t="str">
        <x:v>Listed current</x:v>
      </x:c>
      <x:c r="G209" s="26" t="str"/>
      <x:c r="H209" s="28"/>
      <x:c r="I209" s="30"/>
      <x:c r="J209" s="26" t="str"/>
      <x:c r="K209" s="26" t="str">
        <x:v>High</x:v>
      </x:c>
      <x:c r="L209" s="26" t="str">
        <x:v>Current Halba town listing — listed open on Google</x:v>
      </x:c>
      <x:c r="M209" s="26" t="str">
        <x:v>https://wenrayhin.com/en/towns/halba/food_drink</x:v>
      </x:c>
      <x:c r="N209" s="26" t="str">
        <x:v>https://www.google.com/maps/search/?api=1&amp;query=Kaddour+Snack%2C+Halba%2C+Lebanon</x:v>
      </x:c>
      <x:c r="O209" s="26" t="str"/>
      <x:c r="P209" s="26" t="str">
        <x:v>2026-09-08</x:v>
      </x:c>
    </x:row>
    <x:row r="210">
      <x:c r="A210" s="26" t="n">
        <x:v>209</x:v>
      </x:c>
      <x:c r="B210" s="26" t="str">
        <x:v>Akkar</x:v>
      </x:c>
      <x:c r="C210" s="26" t="str">
        <x:v>Halba</x:v>
      </x:c>
      <x:c r="D210" s="26" t="str">
        <x:v>Khatib Sweet</x:v>
      </x:c>
      <x:c r="E210" s="26" t="str">
        <x:v>Restaurant / sweets</x:v>
      </x:c>
      <x:c r="F210" s="26" t="str">
        <x:v>Listed current</x:v>
      </x:c>
      <x:c r="G210" s="26" t="str"/>
      <x:c r="H210" s="28"/>
      <x:c r="I210" s="30"/>
      <x:c r="J210" s="26" t="str"/>
      <x:c r="K210" s="26" t="str">
        <x:v>High</x:v>
      </x:c>
      <x:c r="L210" s="26" t="str">
        <x:v>Current Halba town listing — listed open on Google</x:v>
      </x:c>
      <x:c r="M210" s="26" t="str">
        <x:v>https://wenrayhin.com/en/towns/halba/food_drink</x:v>
      </x:c>
      <x:c r="N210" s="26" t="str">
        <x:v>https://www.google.com/maps/search/?api=1&amp;query=Khatib+Sweet%2C+Halba%2C+Lebanon</x:v>
      </x:c>
      <x:c r="O210" s="26" t="str"/>
      <x:c r="P210" s="26" t="str">
        <x:v>2026-09-08</x:v>
      </x:c>
    </x:row>
    <x:row r="211">
      <x:c r="A211" s="26" t="n">
        <x:v>210</x:v>
      </x:c>
      <x:c r="B211" s="26" t="str">
        <x:v>Akkar</x:v>
      </x:c>
      <x:c r="C211" s="26" t="str">
        <x:v>Halba</x:v>
      </x:c>
      <x:c r="D211" s="26" t="str">
        <x:v>Maajnat Al Rasheed</x:v>
      </x:c>
      <x:c r="E211" s="26" t="str">
        <x:v>Restaurant / pastries</x:v>
      </x:c>
      <x:c r="F211" s="26" t="str">
        <x:v>Listed current</x:v>
      </x:c>
      <x:c r="G211" s="26" t="str"/>
      <x:c r="H211" s="28"/>
      <x:c r="I211" s="30"/>
      <x:c r="J211" s="26" t="str"/>
      <x:c r="K211" s="26" t="str">
        <x:v>High</x:v>
      </x:c>
      <x:c r="L211" s="26" t="str">
        <x:v>Current Halba town listing — listed open on Google</x:v>
      </x:c>
      <x:c r="M211" s="26" t="str">
        <x:v>https://wenrayhin.com/en/towns/halba/food_drink</x:v>
      </x:c>
      <x:c r="N211" s="26" t="str">
        <x:v>https://www.google.com/maps/search/?api=1&amp;query=Maajnat+Al+Rasheed%2C+Halba%2C+Lebanon</x:v>
      </x:c>
      <x:c r="O211" s="26" t="str"/>
      <x:c r="P211" s="26" t="str">
        <x:v>2026-09-08</x:v>
      </x:c>
    </x:row>
    <x:row r="212">
      <x:c r="A212" s="26" t="n">
        <x:v>211</x:v>
      </x:c>
      <x:c r="B212" s="26" t="str">
        <x:v>Akkar</x:v>
      </x:c>
      <x:c r="C212" s="26" t="str">
        <x:v>Halba</x:v>
      </x:c>
      <x:c r="D212" s="26" t="str">
        <x:v>Mataam Abu Ayman Foul w Hummus</x:v>
      </x:c>
      <x:c r="E212" s="26" t="str">
        <x:v>Breakfast / street food</x:v>
      </x:c>
      <x:c r="F212" s="26" t="str">
        <x:v>Listed current</x:v>
      </x:c>
      <x:c r="G212" s="26" t="str"/>
      <x:c r="H212" s="28"/>
      <x:c r="I212" s="30"/>
      <x:c r="J212" s="26" t="str"/>
      <x:c r="K212" s="26" t="str">
        <x:v>High</x:v>
      </x:c>
      <x:c r="L212" s="26" t="str">
        <x:v>Current Halba town listing — listed open on Google</x:v>
      </x:c>
      <x:c r="M212" s="26" t="str">
        <x:v>https://wenrayhin.com/en/towns/halba/food_drink</x:v>
      </x:c>
      <x:c r="N212" s="26" t="str">
        <x:v>https://www.google.com/maps/search/?api=1&amp;query=Mataam+Abu+Ayman+Foul+w+Hummus%2C+Halba%2C+Lebanon</x:v>
      </x:c>
      <x:c r="O212" s="26" t="str"/>
      <x:c r="P212" s="26" t="str">
        <x:v>2026-09-08</x:v>
      </x:c>
    </x:row>
    <x:row r="213">
      <x:c r="A213" s="26" t="n">
        <x:v>212</x:v>
      </x:c>
      <x:c r="B213" s="26" t="str">
        <x:v>Akkar</x:v>
      </x:c>
      <x:c r="C213" s="26" t="str">
        <x:v>Halba</x:v>
      </x:c>
      <x:c r="D213" s="26" t="str">
        <x:v>Mataam Al Danoun Halba</x:v>
      </x:c>
      <x:c r="E213" s="26" t="str">
        <x:v>Breakfast</x:v>
      </x:c>
      <x:c r="F213" s="26" t="str">
        <x:v>Listed current</x:v>
      </x:c>
      <x:c r="G213" s="26" t="str"/>
      <x:c r="H213" s="28"/>
      <x:c r="I213" s="30"/>
      <x:c r="J213" s="26" t="str"/>
      <x:c r="K213" s="26" t="str">
        <x:v>High</x:v>
      </x:c>
      <x:c r="L213" s="26" t="str">
        <x:v>Current Halba town listing — listed open on Google</x:v>
      </x:c>
      <x:c r="M213" s="26" t="str">
        <x:v>https://wenrayhin.com/en/towns/halba/food_drink</x:v>
      </x:c>
      <x:c r="N213" s="26" t="str">
        <x:v>https://www.google.com/maps/search/?api=1&amp;query=Mataam+Al+Danoun+Halba%2C+Halba%2C+Lebanon</x:v>
      </x:c>
      <x:c r="O213" s="26" t="str"/>
      <x:c r="P213" s="26" t="str">
        <x:v>2026-09-08</x:v>
      </x:c>
    </x:row>
    <x:row r="214">
      <x:c r="A214" s="26" t="n">
        <x:v>213</x:v>
      </x:c>
      <x:c r="B214" s="26" t="str">
        <x:v>Akkar</x:v>
      </x:c>
      <x:c r="C214" s="26" t="str">
        <x:v>Halba</x:v>
      </x:c>
      <x:c r="D214" s="26" t="str">
        <x:v>Mataam Bab Al Hara</x:v>
      </x:c>
      <x:c r="E214" s="26" t="str">
        <x:v>Restaurant</x:v>
      </x:c>
      <x:c r="F214" s="26" t="str">
        <x:v>Listed current</x:v>
      </x:c>
      <x:c r="G214" s="26" t="str"/>
      <x:c r="H214" s="28"/>
      <x:c r="I214" s="30"/>
      <x:c r="J214" s="26" t="str"/>
      <x:c r="K214" s="26" t="str">
        <x:v>High</x:v>
      </x:c>
      <x:c r="L214" s="26" t="str">
        <x:v>Current Halba town listing — listed open on Google</x:v>
      </x:c>
      <x:c r="M214" s="26" t="str">
        <x:v>https://wenrayhin.com/en/towns/halba/food_drink</x:v>
      </x:c>
      <x:c r="N214" s="26" t="str">
        <x:v>https://www.google.com/maps/search/?api=1&amp;query=Mataam+Bab+Al+Hara%2C+Halba%2C+Lebanon</x:v>
      </x:c>
      <x:c r="O214" s="26" t="str"/>
      <x:c r="P214" s="26" t="str">
        <x:v>2026-09-08</x:v>
      </x:c>
    </x:row>
    <x:row r="215">
      <x:c r="A215" s="26" t="n">
        <x:v>214</x:v>
      </x:c>
      <x:c r="B215" s="26" t="str">
        <x:v>Akkar</x:v>
      </x:c>
      <x:c r="C215" s="26" t="str">
        <x:v>Halba</x:v>
      </x:c>
      <x:c r="D215" s="26" t="str">
        <x:v>Mataam Bab Al Saraya</x:v>
      </x:c>
      <x:c r="E215" s="26" t="str">
        <x:v>Restaurant</x:v>
      </x:c>
      <x:c r="F215" s="26" t="str">
        <x:v>Listed current</x:v>
      </x:c>
      <x:c r="G215" s="26" t="str"/>
      <x:c r="H215" s="28"/>
      <x:c r="I215" s="30"/>
      <x:c r="J215" s="26" t="str"/>
      <x:c r="K215" s="26" t="str">
        <x:v>High</x:v>
      </x:c>
      <x:c r="L215" s="26" t="str">
        <x:v>Current Halba town listing — listed open on Google</x:v>
      </x:c>
      <x:c r="M215" s="26" t="str">
        <x:v>https://wenrayhin.com/en/towns/halba/food_drink</x:v>
      </x:c>
      <x:c r="N215" s="26" t="str">
        <x:v>https://www.google.com/maps/search/?api=1&amp;query=Mataam+Bab+Al+Saraya%2C+Halba%2C+Lebanon</x:v>
      </x:c>
      <x:c r="O215" s="26" t="str"/>
      <x:c r="P215" s="26" t="str">
        <x:v>2026-09-08</x:v>
      </x:c>
    </x:row>
    <x:row r="216">
      <x:c r="A216" s="26" t="n">
        <x:v>215</x:v>
      </x:c>
      <x:c r="B216" s="26" t="str">
        <x:v>Akkar</x:v>
      </x:c>
      <x:c r="C216" s="26" t="str">
        <x:v>Halba</x:v>
      </x:c>
      <x:c r="D216" s="26" t="str">
        <x:v>Mataam Beiti Ana</x:v>
      </x:c>
      <x:c r="E216" s="26" t="str">
        <x:v>Restaurant</x:v>
      </x:c>
      <x:c r="F216" s="26" t="str">
        <x:v>Listed current</x:v>
      </x:c>
      <x:c r="G216" s="26" t="str"/>
      <x:c r="H216" s="28"/>
      <x:c r="I216" s="30"/>
      <x:c r="J216" s="26" t="str"/>
      <x:c r="K216" s="26" t="str">
        <x:v>High</x:v>
      </x:c>
      <x:c r="L216" s="26" t="str">
        <x:v>Current Halba town listing — listed open on Google</x:v>
      </x:c>
      <x:c r="M216" s="26" t="str">
        <x:v>https://wenrayhin.com/en/towns/halba/food_drink</x:v>
      </x:c>
      <x:c r="N216" s="26" t="str">
        <x:v>https://www.google.com/maps/search/?api=1&amp;query=Mataam+Beiti+Ana%2C+Halba%2C+Lebanon</x:v>
      </x:c>
      <x:c r="O216" s="26" t="str"/>
      <x:c r="P216" s="26" t="str">
        <x:v>2026-09-08</x:v>
      </x:c>
    </x:row>
    <x:row r="217">
      <x:c r="A217" s="26" t="n">
        <x:v>216</x:v>
      </x:c>
      <x:c r="B217" s="26" t="str">
        <x:v>Akkar</x:v>
      </x:c>
      <x:c r="C217" s="26" t="str">
        <x:v>Halba</x:v>
      </x:c>
      <x:c r="D217" s="26" t="str">
        <x:v>Mataam w Cafe Al Mahabba</x:v>
      </x:c>
      <x:c r="E217" s="26" t="str">
        <x:v>Street food / resto-cafe</x:v>
      </x:c>
      <x:c r="F217" s="26" t="str">
        <x:v>Listed current</x:v>
      </x:c>
      <x:c r="G217" s="26" t="str"/>
      <x:c r="H217" s="28"/>
      <x:c r="I217" s="30"/>
      <x:c r="J217" s="26" t="str"/>
      <x:c r="K217" s="26" t="str">
        <x:v>High</x:v>
      </x:c>
      <x:c r="L217" s="26" t="str">
        <x:v>Current Halba town listing — listed open on Google</x:v>
      </x:c>
      <x:c r="M217" s="26" t="str">
        <x:v>https://wenrayhin.com/en/towns/halba/food_drink</x:v>
      </x:c>
      <x:c r="N217" s="26" t="str">
        <x:v>https://www.google.com/maps/search/?api=1&amp;query=Mataam+w+Cafe+Al+Mahabba%2C+Halba%2C+Lebanon</x:v>
      </x:c>
      <x:c r="O217" s="26" t="str"/>
      <x:c r="P217" s="26" t="str">
        <x:v>2026-09-08</x:v>
      </x:c>
    </x:row>
    <x:row r="218">
      <x:c r="A218" s="26" t="n">
        <x:v>217</x:v>
      </x:c>
      <x:c r="B218" s="26" t="str">
        <x:v>Akkar</x:v>
      </x:c>
      <x:c r="C218" s="26" t="str">
        <x:v>Halba</x:v>
      </x:c>
      <x:c r="D218" s="26" t="str">
        <x:v>Milhameh w Mataam Al Faiha</x:v>
      </x:c>
      <x:c r="E218" s="26" t="str">
        <x:v>Butcher / restaurant</x:v>
      </x:c>
      <x:c r="F218" s="26" t="str">
        <x:v>Listed current</x:v>
      </x:c>
      <x:c r="G218" s="26" t="str"/>
      <x:c r="H218" s="28"/>
      <x:c r="I218" s="30"/>
      <x:c r="J218" s="26" t="str"/>
      <x:c r="K218" s="26" t="str">
        <x:v>High</x:v>
      </x:c>
      <x:c r="L218" s="26" t="str">
        <x:v>Current Halba town listing — listed open on Google</x:v>
      </x:c>
      <x:c r="M218" s="26" t="str">
        <x:v>https://wenrayhin.com/en/towns/halba/food_drink</x:v>
      </x:c>
      <x:c r="N218" s="26" t="str">
        <x:v>https://www.google.com/maps/search/?api=1&amp;query=Milhameh+w+Mataam+Al+Faiha%2C+Halba%2C+Lebanon</x:v>
      </x:c>
      <x:c r="O218" s="26" t="str"/>
      <x:c r="P218" s="26" t="str">
        <x:v>2026-09-08</x:v>
      </x:c>
    </x:row>
    <x:row r="219">
      <x:c r="A219" s="26" t="n">
        <x:v>218</x:v>
      </x:c>
      <x:c r="B219" s="26" t="str">
        <x:v>Akkar</x:v>
      </x:c>
      <x:c r="C219" s="26" t="str">
        <x:v>Halba</x:v>
      </x:c>
      <x:c r="D219" s="26" t="str">
        <x:v>Qasr Al Qishta</x:v>
      </x:c>
      <x:c r="E219" s="26" t="str">
        <x:v>Restaurant</x:v>
      </x:c>
      <x:c r="F219" s="26" t="str">
        <x:v>Listed current</x:v>
      </x:c>
      <x:c r="G219" s="26" t="str"/>
      <x:c r="H219" s="28"/>
      <x:c r="I219" s="30"/>
      <x:c r="J219" s="26" t="str"/>
      <x:c r="K219" s="26" t="str">
        <x:v>High</x:v>
      </x:c>
      <x:c r="L219" s="26" t="str">
        <x:v>Current Halba town listing — listed open on Google</x:v>
      </x:c>
      <x:c r="M219" s="26" t="str">
        <x:v>https://wenrayhin.com/en/towns/halba/food_drink</x:v>
      </x:c>
      <x:c r="N219" s="26" t="str">
        <x:v>https://www.google.com/maps/search/?api=1&amp;query=Qasr+Al+Qishta%2C+Halba%2C+Lebanon</x:v>
      </x:c>
      <x:c r="O219" s="26" t="str"/>
      <x:c r="P219" s="26" t="str">
        <x:v>2026-09-08</x:v>
      </x:c>
    </x:row>
    <x:row r="220">
      <x:c r="A220" s="26" t="n">
        <x:v>219</x:v>
      </x:c>
      <x:c r="B220" s="26" t="str">
        <x:v>Akkar</x:v>
      </x:c>
      <x:c r="C220" s="26" t="str">
        <x:v>Halba</x:v>
      </x:c>
      <x:c r="D220" s="26" t="str">
        <x:v>RIFAI CHICKEN</x:v>
      </x:c>
      <x:c r="E220" s="26" t="str">
        <x:v>Chicken restaurant</x:v>
      </x:c>
      <x:c r="F220" s="26" t="str">
        <x:v>Listed current</x:v>
      </x:c>
      <x:c r="G220" s="26" t="str"/>
      <x:c r="H220" s="28"/>
      <x:c r="I220" s="30"/>
      <x:c r="J220" s="26" t="str"/>
      <x:c r="K220" s="26" t="str">
        <x:v>High</x:v>
      </x:c>
      <x:c r="L220" s="26" t="str">
        <x:v>Current Halba town listing — listed open on Google</x:v>
      </x:c>
      <x:c r="M220" s="26" t="str">
        <x:v>https://wenrayhin.com/en/towns/halba/food_drink</x:v>
      </x:c>
      <x:c r="N220" s="26" t="str">
        <x:v>https://www.google.com/maps/search/?api=1&amp;query=RIFAI+CHICKEN%2C+Halba%2C+Lebanon</x:v>
      </x:c>
      <x:c r="O220" s="26" t="str"/>
      <x:c r="P220" s="26" t="str">
        <x:v>2026-09-08</x:v>
      </x:c>
    </x:row>
    <x:row r="221">
      <x:c r="A221" s="26" t="n">
        <x:v>220</x:v>
      </x:c>
      <x:c r="B221" s="26" t="str">
        <x:v>Akkar</x:v>
      </x:c>
      <x:c r="C221" s="26" t="str">
        <x:v>Halba</x:v>
      </x:c>
      <x:c r="D221" s="26" t="str">
        <x:v>Sealand Restaurant</x:v>
      </x:c>
      <x:c r="E221" s="26" t="str">
        <x:v>Seafood restaurant</x:v>
      </x:c>
      <x:c r="F221" s="26" t="str">
        <x:v>Listed current</x:v>
      </x:c>
      <x:c r="G221" s="26" t="str"/>
      <x:c r="H221" s="28"/>
      <x:c r="I221" s="30"/>
      <x:c r="J221" s="26" t="str"/>
      <x:c r="K221" s="26" t="str">
        <x:v>High</x:v>
      </x:c>
      <x:c r="L221" s="26" t="str">
        <x:v>Current Halba town listing — listed open on Google</x:v>
      </x:c>
      <x:c r="M221" s="26" t="str">
        <x:v>https://wenrayhin.com/en/towns/halba/food_drink</x:v>
      </x:c>
      <x:c r="N221" s="26" t="str">
        <x:v>https://www.google.com/maps/search/?api=1&amp;query=Sealand+Restaurant%2C+Halba%2C+Lebanon</x:v>
      </x:c>
      <x:c r="O221" s="26" t="str"/>
      <x:c r="P221" s="26" t="str">
        <x:v>2026-09-08</x:v>
      </x:c>
    </x:row>
    <x:row r="222">
      <x:c r="A222" s="26" t="n">
        <x:v>221</x:v>
      </x:c>
      <x:c r="B222" s="26" t="str">
        <x:v>Akkar</x:v>
      </x:c>
      <x:c r="C222" s="26" t="str">
        <x:v>Halba</x:v>
      </x:c>
      <x:c r="D222" s="26" t="str">
        <x:v>Snack Al Mahabeh</x:v>
      </x:c>
      <x:c r="E222" s="26" t="str">
        <x:v>Restaurant</x:v>
      </x:c>
      <x:c r="F222" s="26" t="str">
        <x:v>Listed current</x:v>
      </x:c>
      <x:c r="G222" s="26" t="str"/>
      <x:c r="H222" s="28"/>
      <x:c r="I222" s="30"/>
      <x:c r="J222" s="26" t="str"/>
      <x:c r="K222" s="26" t="str">
        <x:v>High</x:v>
      </x:c>
      <x:c r="L222" s="26" t="str">
        <x:v>Current Halba town listing — listed open on Google</x:v>
      </x:c>
      <x:c r="M222" s="26" t="str">
        <x:v>https://wenrayhin.com/en/towns/halba/food_drink</x:v>
      </x:c>
      <x:c r="N222" s="26" t="str">
        <x:v>https://www.google.com/maps/search/?api=1&amp;query=Snack+Al+Mahabeh%2C+Halba%2C+Lebanon</x:v>
      </x:c>
      <x:c r="O222" s="26" t="str"/>
      <x:c r="P222" s="26" t="str">
        <x:v>2026-09-08</x:v>
      </x:c>
    </x:row>
    <x:row r="223">
      <x:c r="A223" s="26" t="n">
        <x:v>222</x:v>
      </x:c>
      <x:c r="B223" s="26" t="str">
        <x:v>Akkar</x:v>
      </x:c>
      <x:c r="C223" s="26" t="str">
        <x:v>Halba</x:v>
      </x:c>
      <x:c r="D223" s="26" t="str">
        <x:v>Ezzeddine Restaurant (Malek Al Hummus Wal Foul)</x:v>
      </x:c>
      <x:c r="E223" s="26" t="str">
        <x:v>Lebanese breakfast</x:v>
      </x:c>
      <x:c r="F223" s="26" t="str">
        <x:v>Listed current</x:v>
      </x:c>
      <x:c r="G223" s="26" t="str"/>
      <x:c r="H223" s="28"/>
      <x:c r="I223" s="30"/>
      <x:c r="J223" s="26" t="str"/>
      <x:c r="K223" s="26" t="str">
        <x:v>High</x:v>
      </x:c>
      <x:c r="L223" s="26" t="str">
        <x:v>Current Halba town listing — listed open on Google</x:v>
      </x:c>
      <x:c r="M223" s="26" t="str">
        <x:v>https://wenrayhin.com/en/towns/halba/food_drink</x:v>
      </x:c>
      <x:c r="N223" s="26" t="str">
        <x:v>https://www.google.com/maps/search/?api=1&amp;query=Ezzeddine+Restaurant+%28Malek+Al+Hummus+Wal+Foul%29%2C+Halba%2C+Lebanon</x:v>
      </x:c>
      <x:c r="O223" s="26" t="str"/>
      <x:c r="P223" s="26" t="str">
        <x:v>2026-09-08</x:v>
      </x:c>
    </x:row>
    <x:row r="224">
      <x:c r="A224" s="26" t="n">
        <x:v>223</x:v>
      </x:c>
      <x:c r="B224" s="26" t="str">
        <x:v>Akkar</x:v>
      </x:c>
      <x:c r="C224" s="26" t="str">
        <x:v>Qoubaiyat</x:v>
      </x:c>
      <x:c r="D224" s="26" t="str">
        <x:v>Rodny's</x:v>
      </x:c>
      <x:c r="E224" s="26" t="str">
        <x:v>Restaurant</x:v>
      </x:c>
      <x:c r="F224" s="26" t="str">
        <x:v>Listed current</x:v>
      </x:c>
      <x:c r="G224" s="26" t="str"/>
      <x:c r="H224" s="28"/>
      <x:c r="I224" s="30"/>
      <x:c r="J224" s="26" t="str"/>
      <x:c r="K224" s="26" t="str">
        <x:v>High</x:v>
      </x:c>
      <x:c r="L224" s="26" t="str">
        <x:v>Current Qoubaiyat town listing — listed open on Google</x:v>
      </x:c>
      <x:c r="M224" s="26" t="str">
        <x:v>https://wenrayhin.com/en/towns/al-qoubaiyat/food_drink</x:v>
      </x:c>
      <x:c r="N224" s="26" t="str">
        <x:v>https://www.google.com/maps/search/?api=1&amp;query=Rodny%27s%2C+Qoubaiyat%2C+Lebanon</x:v>
      </x:c>
      <x:c r="O224" s="26" t="str"/>
      <x:c r="P224" s="26" t="str">
        <x:v>2026-09-08</x:v>
      </x:c>
    </x:row>
    <x:row r="225">
      <x:c r="A225" s="26" t="n">
        <x:v>224</x:v>
      </x:c>
      <x:c r="B225" s="26" t="str">
        <x:v>Akkar</x:v>
      </x:c>
      <x:c r="C225" s="26" t="str">
        <x:v>Qoubaiyat</x:v>
      </x:c>
      <x:c r="D225" s="26" t="str">
        <x:v>KARAM'S Grand Restaurant</x:v>
      </x:c>
      <x:c r="E225" s="26" t="str">
        <x:v>Restaurant</x:v>
      </x:c>
      <x:c r="F225" s="26" t="str">
        <x:v>Listed current</x:v>
      </x:c>
      <x:c r="G225" s="26" t="str"/>
      <x:c r="H225" s="28"/>
      <x:c r="I225" s="30"/>
      <x:c r="J225" s="26" t="str"/>
      <x:c r="K225" s="26" t="str">
        <x:v>High</x:v>
      </x:c>
      <x:c r="L225" s="26" t="str">
        <x:v>Current Qoubaiyat town listing — listed open on Google</x:v>
      </x:c>
      <x:c r="M225" s="26" t="str">
        <x:v>https://wenrayhin.com/en/towns/al-qoubaiyat/food_drink</x:v>
      </x:c>
      <x:c r="N225" s="26" t="str">
        <x:v>https://www.google.com/maps/search/?api=1&amp;query=KARAM%27S+Grand+Restaurant%2C+Qoubaiyat%2C+Lebanon</x:v>
      </x:c>
      <x:c r="O225" s="26" t="str"/>
      <x:c r="P225" s="26" t="str">
        <x:v>2026-09-08</x:v>
      </x:c>
    </x:row>
    <x:row r="226">
      <x:c r="A226" s="26" t="n">
        <x:v>225</x:v>
      </x:c>
      <x:c r="B226" s="26" t="str">
        <x:v>Akkar</x:v>
      </x:c>
      <x:c r="C226" s="26" t="str">
        <x:v>Qoubaiyat</x:v>
      </x:c>
      <x:c r="D226" s="26" t="str">
        <x:v>Aa Saj</x:v>
      </x:c>
      <x:c r="E226" s="26" t="str">
        <x:v>Restaurant</x:v>
      </x:c>
      <x:c r="F226" s="26" t="str">
        <x:v>Listed current</x:v>
      </x:c>
      <x:c r="G226" s="26" t="str"/>
      <x:c r="H226" s="28"/>
      <x:c r="I226" s="30"/>
      <x:c r="J226" s="26" t="str"/>
      <x:c r="K226" s="26" t="str">
        <x:v>High</x:v>
      </x:c>
      <x:c r="L226" s="26" t="str">
        <x:v>Current Qoubaiyat town listing — listed open on Google</x:v>
      </x:c>
      <x:c r="M226" s="26" t="str">
        <x:v>https://wenrayhin.com/en/towns/al-qoubaiyat/food_drink</x:v>
      </x:c>
      <x:c r="N226" s="26" t="str">
        <x:v>https://www.google.com/maps/search/?api=1&amp;query=Aa+Saj%2C+Qoubaiyat%2C+Lebanon</x:v>
      </x:c>
      <x:c r="O226" s="26" t="str"/>
      <x:c r="P226" s="26" t="str">
        <x:v>2026-09-08</x:v>
      </x:c>
    </x:row>
    <x:row r="227">
      <x:c r="A227" s="26" t="n">
        <x:v>226</x:v>
      </x:c>
      <x:c r="B227" s="26" t="str">
        <x:v>Akkar</x:v>
      </x:c>
      <x:c r="C227" s="26" t="str">
        <x:v>Qoubaiyat</x:v>
      </x:c>
      <x:c r="D227" s="26" t="str">
        <x:v>Alma Del Bosque</x:v>
      </x:c>
      <x:c r="E227" s="26" t="str">
        <x:v>Restaurant</x:v>
      </x:c>
      <x:c r="F227" s="26" t="str">
        <x:v>Listed current</x:v>
      </x:c>
      <x:c r="G227" s="26" t="str"/>
      <x:c r="H227" s="28"/>
      <x:c r="I227" s="30"/>
      <x:c r="J227" s="26" t="str"/>
      <x:c r="K227" s="26" t="str">
        <x:v>High</x:v>
      </x:c>
      <x:c r="L227" s="26" t="str">
        <x:v>Current Qoubaiyat town listing — listed open on Google</x:v>
      </x:c>
      <x:c r="M227" s="26" t="str">
        <x:v>https://wenrayhin.com/en/towns/al-qoubaiyat/food_drink</x:v>
      </x:c>
      <x:c r="N227" s="26" t="str">
        <x:v>https://www.google.com/maps/search/?api=1&amp;query=Alma+Del+Bosque%2C+Qoubaiyat%2C+Lebanon</x:v>
      </x:c>
      <x:c r="O227" s="26" t="str"/>
      <x:c r="P227" s="26" t="str">
        <x:v>2026-09-08</x:v>
      </x:c>
    </x:row>
    <x:row r="228">
      <x:c r="A228" s="26" t="n">
        <x:v>227</x:v>
      </x:c>
      <x:c r="B228" s="26" t="str">
        <x:v>Akkar</x:v>
      </x:c>
      <x:c r="C228" s="26" t="str">
        <x:v>Qoubaiyat</x:v>
      </x:c>
      <x:c r="D228" s="26" t="str">
        <x:v>Black Box</x:v>
      </x:c>
      <x:c r="E228" s="26" t="str">
        <x:v>Street food</x:v>
      </x:c>
      <x:c r="F228" s="26" t="str">
        <x:v>Listed current</x:v>
      </x:c>
      <x:c r="G228" s="26" t="str"/>
      <x:c r="H228" s="28"/>
      <x:c r="I228" s="30"/>
      <x:c r="J228" s="26" t="str"/>
      <x:c r="K228" s="26" t="str">
        <x:v>High</x:v>
      </x:c>
      <x:c r="L228" s="26" t="str">
        <x:v>Current Qoubaiyat town listing — listed open on Google</x:v>
      </x:c>
      <x:c r="M228" s="26" t="str">
        <x:v>https://wenrayhin.com/en/towns/al-qoubaiyat/food_drink</x:v>
      </x:c>
      <x:c r="N228" s="26" t="str">
        <x:v>https://www.google.com/maps/search/?api=1&amp;query=Black+Box%2C+Qoubaiyat%2C+Lebanon</x:v>
      </x:c>
      <x:c r="O228" s="26" t="str"/>
      <x:c r="P228" s="26" t="str">
        <x:v>2026-09-08</x:v>
      </x:c>
    </x:row>
    <x:row r="229">
      <x:c r="A229" s="26" t="n">
        <x:v>228</x:v>
      </x:c>
      <x:c r="B229" s="26" t="str">
        <x:v>Akkar</x:v>
      </x:c>
      <x:c r="C229" s="26" t="str">
        <x:v>Qoubaiyat</x:v>
      </x:c>
      <x:c r="D229" s="26" t="str">
        <x:v>Boulevard Restaurant</x:v>
      </x:c>
      <x:c r="E229" s="26" t="str">
        <x:v>Restaurant</x:v>
      </x:c>
      <x:c r="F229" s="26" t="str">
        <x:v>Listed current</x:v>
      </x:c>
      <x:c r="G229" s="26" t="str"/>
      <x:c r="H229" s="28"/>
      <x:c r="I229" s="30"/>
      <x:c r="J229" s="26" t="str"/>
      <x:c r="K229" s="26" t="str">
        <x:v>High</x:v>
      </x:c>
      <x:c r="L229" s="26" t="str">
        <x:v>Current Qoubaiyat town listing — listed open on Google</x:v>
      </x:c>
      <x:c r="M229" s="26" t="str">
        <x:v>https://wenrayhin.com/en/towns/al-qoubaiyat/food_drink</x:v>
      </x:c>
      <x:c r="N229" s="26" t="str">
        <x:v>https://www.google.com/maps/search/?api=1&amp;query=Boulevard+Restaurant%2C+Qoubaiyat%2C+Lebanon</x:v>
      </x:c>
      <x:c r="O229" s="26" t="str"/>
      <x:c r="P229" s="26" t="str">
        <x:v>2026-09-08</x:v>
      </x:c>
    </x:row>
    <x:row r="230">
      <x:c r="A230" s="26" t="n">
        <x:v>229</x:v>
      </x:c>
      <x:c r="B230" s="26" t="str">
        <x:v>Akkar</x:v>
      </x:c>
      <x:c r="C230" s="26" t="str">
        <x:v>Qoubaiyat</x:v>
      </x:c>
      <x:c r="D230" s="26" t="str">
        <x:v>Cafe Abo Lzaher</x:v>
      </x:c>
      <x:c r="E230" s="26" t="str">
        <x:v>Restaurant</x:v>
      </x:c>
      <x:c r="F230" s="26" t="str">
        <x:v>Listed current</x:v>
      </x:c>
      <x:c r="G230" s="26" t="str"/>
      <x:c r="H230" s="28"/>
      <x:c r="I230" s="30"/>
      <x:c r="J230" s="26" t="str"/>
      <x:c r="K230" s="26" t="str">
        <x:v>High</x:v>
      </x:c>
      <x:c r="L230" s="26" t="str">
        <x:v>Current Qoubaiyat town listing — listed open on Google</x:v>
      </x:c>
      <x:c r="M230" s="26" t="str">
        <x:v>https://wenrayhin.com/en/towns/al-qoubaiyat/food_drink</x:v>
      </x:c>
      <x:c r="N230" s="26" t="str">
        <x:v>https://www.google.com/maps/search/?api=1&amp;query=Cafe+Abo+Lzaher%2C+Qoubaiyat%2C+Lebanon</x:v>
      </x:c>
      <x:c r="O230" s="26" t="str"/>
      <x:c r="P230" s="26" t="str">
        <x:v>2026-09-08</x:v>
      </x:c>
    </x:row>
    <x:row r="231">
      <x:c r="A231" s="26" t="n">
        <x:v>230</x:v>
      </x:c>
      <x:c r="B231" s="26" t="str">
        <x:v>Akkar</x:v>
      </x:c>
      <x:c r="C231" s="26" t="str">
        <x:v>Qoubaiyat</x:v>
      </x:c>
      <x:c r="D231" s="26" t="str">
        <x:v>Cask Restaurant</x:v>
      </x:c>
      <x:c r="E231" s="26" t="str">
        <x:v>Restaurant</x:v>
      </x:c>
      <x:c r="F231" s="26" t="str">
        <x:v>Listed current</x:v>
      </x:c>
      <x:c r="G231" s="26" t="str"/>
      <x:c r="H231" s="28"/>
      <x:c r="I231" s="30"/>
      <x:c r="J231" s="26" t="str"/>
      <x:c r="K231" s="26" t="str">
        <x:v>High</x:v>
      </x:c>
      <x:c r="L231" s="26" t="str">
        <x:v>Current Qoubaiyat town listing — listed open on Google</x:v>
      </x:c>
      <x:c r="M231" s="26" t="str">
        <x:v>https://wenrayhin.com/en/towns/al-qoubaiyat/food_drink</x:v>
      </x:c>
      <x:c r="N231" s="26" t="str">
        <x:v>https://www.google.com/maps/search/?api=1&amp;query=Cask+Restaurant%2C+Qoubaiyat%2C+Lebanon</x:v>
      </x:c>
      <x:c r="O231" s="26" t="str"/>
      <x:c r="P231" s="26" t="str">
        <x:v>2026-09-08</x:v>
      </x:c>
    </x:row>
    <x:row r="232">
      <x:c r="A232" s="26" t="n">
        <x:v>231</x:v>
      </x:c>
      <x:c r="B232" s="26" t="str">
        <x:v>Akkar</x:v>
      </x:c>
      <x:c r="C232" s="26" t="str">
        <x:v>Qoubaiyat</x:v>
      </x:c>
      <x:c r="D232" s="26" t="str">
        <x:v>Chachi Kobayat</x:v>
      </x:c>
      <x:c r="E232" s="26" t="str">
        <x:v>Restaurant</x:v>
      </x:c>
      <x:c r="F232" s="26" t="str">
        <x:v>Listed current</x:v>
      </x:c>
      <x:c r="G232" s="26" t="str"/>
      <x:c r="H232" s="28"/>
      <x:c r="I232" s="30"/>
      <x:c r="J232" s="26" t="str"/>
      <x:c r="K232" s="26" t="str">
        <x:v>High</x:v>
      </x:c>
      <x:c r="L232" s="26" t="str">
        <x:v>Current Qoubaiyat town listing — listed open on Google</x:v>
      </x:c>
      <x:c r="M232" s="26" t="str">
        <x:v>https://wenrayhin.com/en/towns/al-qoubaiyat/food_drink</x:v>
      </x:c>
      <x:c r="N232" s="26" t="str">
        <x:v>https://www.google.com/maps/search/?api=1&amp;query=Chachi+Kobayat%2C+Qoubaiyat%2C+Lebanon</x:v>
      </x:c>
      <x:c r="O232" s="26" t="str"/>
      <x:c r="P232" s="26" t="str">
        <x:v>2026-09-08</x:v>
      </x:c>
    </x:row>
    <x:row r="233">
      <x:c r="A233" s="26" t="n">
        <x:v>232</x:v>
      </x:c>
      <x:c r="B233" s="26" t="str">
        <x:v>Akkar</x:v>
      </x:c>
      <x:c r="C233" s="26" t="str">
        <x:v>Qoubaiyat</x:v>
      </x:c>
      <x:c r="D233" s="26" t="str">
        <x:v>CharPoule</x:v>
      </x:c>
      <x:c r="E233" s="26" t="str">
        <x:v>Restaurant</x:v>
      </x:c>
      <x:c r="F233" s="26" t="str">
        <x:v>Listed current</x:v>
      </x:c>
      <x:c r="G233" s="26" t="str"/>
      <x:c r="H233" s="28"/>
      <x:c r="I233" s="30"/>
      <x:c r="J233" s="26" t="str"/>
      <x:c r="K233" s="26" t="str">
        <x:v>High</x:v>
      </x:c>
      <x:c r="L233" s="26" t="str">
        <x:v>Current Qoubaiyat town listing — listed open on Google</x:v>
      </x:c>
      <x:c r="M233" s="26" t="str">
        <x:v>https://wenrayhin.com/en/towns/al-qoubaiyat/food_drink</x:v>
      </x:c>
      <x:c r="N233" s="26" t="str">
        <x:v>https://www.google.com/maps/search/?api=1&amp;query=CharPoule%2C+Qoubaiyat%2C+Lebanon</x:v>
      </x:c>
      <x:c r="O233" s="26" t="str"/>
      <x:c r="P233" s="26" t="str">
        <x:v>2026-09-08</x:v>
      </x:c>
    </x:row>
    <x:row r="234">
      <x:c r="A234" s="26" t="n">
        <x:v>233</x:v>
      </x:c>
      <x:c r="B234" s="26" t="str">
        <x:v>Akkar</x:v>
      </x:c>
      <x:c r="C234" s="26" t="str">
        <x:v>Qoubaiyat</x:v>
      </x:c>
      <x:c r="D234" s="26" t="str">
        <x:v>Dady's Restaurant</x:v>
      </x:c>
      <x:c r="E234" s="26" t="str">
        <x:v>Restaurant</x:v>
      </x:c>
      <x:c r="F234" s="26" t="str">
        <x:v>Listed current</x:v>
      </x:c>
      <x:c r="G234" s="26" t="str"/>
      <x:c r="H234" s="28"/>
      <x:c r="I234" s="30"/>
      <x:c r="J234" s="26" t="str"/>
      <x:c r="K234" s="26" t="str">
        <x:v>High</x:v>
      </x:c>
      <x:c r="L234" s="26" t="str">
        <x:v>Current Qoubaiyat town listing — listed open on Google</x:v>
      </x:c>
      <x:c r="M234" s="26" t="str">
        <x:v>https://wenrayhin.com/en/towns/al-qoubaiyat/food_drink</x:v>
      </x:c>
      <x:c r="N234" s="26" t="str">
        <x:v>https://www.google.com/maps/search/?api=1&amp;query=Dady%27s+Restaurant%2C+Qoubaiyat%2C+Lebanon</x:v>
      </x:c>
      <x:c r="O234" s="26" t="str"/>
      <x:c r="P234" s="26" t="str">
        <x:v>2026-09-08</x:v>
      </x:c>
    </x:row>
    <x:row r="235">
      <x:c r="A235" s="26" t="n">
        <x:v>234</x:v>
      </x:c>
      <x:c r="B235" s="26" t="str">
        <x:v>Akkar</x:v>
      </x:c>
      <x:c r="C235" s="26" t="str">
        <x:v>Qoubaiyat</x:v>
      </x:c>
      <x:c r="D235" s="26" t="str">
        <x:v>El Khali</x:v>
      </x:c>
      <x:c r="E235" s="26" t="str">
        <x:v>Chicken / grill restaurant</x:v>
      </x:c>
      <x:c r="F235" s="26" t="str">
        <x:v>Listed current</x:v>
      </x:c>
      <x:c r="G235" s="26" t="str">
        <x:v>+961 79 351 445</x:v>
      </x:c>
      <x:c r="H235" s="28"/>
      <x:c r="I235" s="30"/>
      <x:c r="J235" s="26" t="str">
        <x:v>Wed-Sat 12:00-22:00; Sun 12:00-14:00</x:v>
      </x:c>
      <x:c r="K235" s="26" t="str">
        <x:v>High</x:v>
      </x:c>
      <x:c r="L235" s="26" t="str">
        <x:v>Current Qoubaiyat town listing — listed open on Google</x:v>
      </x:c>
      <x:c r="M235" s="26" t="str">
        <x:v>https://wenrayhin.com/en/places/el-khali-al-qoubaiyat</x:v>
      </x:c>
      <x:c r="N235" s="26" t="str">
        <x:v>https://www.google.com/maps/search/?api=1&amp;query=El+Khali%2C+Qoubaiyat%2C+Lebanon</x:v>
      </x:c>
      <x:c r="O235" s="26" t="str"/>
      <x:c r="P235" s="26" t="str">
        <x:v>2026-09-08</x:v>
      </x:c>
    </x:row>
    <x:row r="236">
      <x:c r="A236" s="26" t="n">
        <x:v>235</x:v>
      </x:c>
      <x:c r="B236" s="26" t="str">
        <x:v>Akkar</x:v>
      </x:c>
      <x:c r="C236" s="26" t="str">
        <x:v>Qoubaiyat</x:v>
      </x:c>
      <x:c r="D236" s="26" t="str">
        <x:v>El Khall</x:v>
      </x:c>
      <x:c r="E236" s="26" t="str">
        <x:v>Restaurant</x:v>
      </x:c>
      <x:c r="F236" s="26" t="str">
        <x:v>Listed current</x:v>
      </x:c>
      <x:c r="G236" s="26" t="str"/>
      <x:c r="H236" s="28"/>
      <x:c r="I236" s="30"/>
      <x:c r="J236" s="26" t="str"/>
      <x:c r="K236" s="26" t="str">
        <x:v>High</x:v>
      </x:c>
      <x:c r="L236" s="26" t="str">
        <x:v>Current Qoubaiyat town listing — listed open on Google</x:v>
      </x:c>
      <x:c r="M236" s="26" t="str">
        <x:v>https://wenrayhin.com/en/towns/al-qoubaiyat/food_drink</x:v>
      </x:c>
      <x:c r="N236" s="26" t="str">
        <x:v>https://www.google.com/maps/search/?api=1&amp;query=El+Khall%2C+Qoubaiyat%2C+Lebanon</x:v>
      </x:c>
      <x:c r="O236" s="26" t="str"/>
      <x:c r="P236" s="26" t="str">
        <x:v>2026-09-08</x:v>
      </x:c>
    </x:row>
    <x:row r="237">
      <x:c r="A237" s="26" t="n">
        <x:v>236</x:v>
      </x:c>
      <x:c r="B237" s="26" t="str">
        <x:v>Akkar</x:v>
      </x:c>
      <x:c r="C237" s="26" t="str">
        <x:v>Qoubaiyat</x:v>
      </x:c>
      <x:c r="D237" s="26" t="str">
        <x:v>Falafel Zeinoun Al Qoubaiyat</x:v>
      </x:c>
      <x:c r="E237" s="26" t="str">
        <x:v>Falafel / Lebanese</x:v>
      </x:c>
      <x:c r="F237" s="26" t="str">
        <x:v>Listed current</x:v>
      </x:c>
      <x:c r="G237" s="26" t="str"/>
      <x:c r="H237" s="28"/>
      <x:c r="I237" s="30"/>
      <x:c r="J237" s="26" t="str"/>
      <x:c r="K237" s="26" t="str">
        <x:v>High</x:v>
      </x:c>
      <x:c r="L237" s="26" t="str">
        <x:v>Current Qoubaiyat town listing — listed open on Google</x:v>
      </x:c>
      <x:c r="M237" s="26" t="str">
        <x:v>https://wenrayhin.com/en/towns/al-qoubaiyat/food_drink</x:v>
      </x:c>
      <x:c r="N237" s="26" t="str">
        <x:v>https://www.google.com/maps/search/?api=1&amp;query=Falafel+Zeinoun+Al+Qoubaiyat%2C+Qoubaiyat%2C+Lebanon</x:v>
      </x:c>
      <x:c r="O237" s="26" t="str"/>
      <x:c r="P237" s="26" t="str">
        <x:v>2026-09-08</x:v>
      </x:c>
    </x:row>
    <x:row r="238">
      <x:c r="A238" s="26" t="n">
        <x:v>237</x:v>
      </x:c>
      <x:c r="B238" s="26" t="str">
        <x:v>Akkar</x:v>
      </x:c>
      <x:c r="C238" s="26" t="str">
        <x:v>Qoubaiyat</x:v>
      </x:c>
      <x:c r="D238" s="26" t="str">
        <x:v>GrillIn</x:v>
      </x:c>
      <x:c r="E238" s="26" t="str">
        <x:v>Street food</x:v>
      </x:c>
      <x:c r="F238" s="26" t="str">
        <x:v>Listed current</x:v>
      </x:c>
      <x:c r="G238" s="26" t="str"/>
      <x:c r="H238" s="28"/>
      <x:c r="I238" s="30"/>
      <x:c r="J238" s="26" t="str"/>
      <x:c r="K238" s="26" t="str">
        <x:v>High</x:v>
      </x:c>
      <x:c r="L238" s="26" t="str">
        <x:v>Current Qoubaiyat town listing — listed open on Google</x:v>
      </x:c>
      <x:c r="M238" s="26" t="str">
        <x:v>https://wenrayhin.com/en/towns/al-qoubaiyat/food_drink</x:v>
      </x:c>
      <x:c r="N238" s="26" t="str">
        <x:v>https://www.google.com/maps/search/?api=1&amp;query=GrillIn%2C+Qoubaiyat%2C+Lebanon</x:v>
      </x:c>
      <x:c r="O238" s="26" t="str"/>
      <x:c r="P238" s="26" t="str">
        <x:v>2026-09-08</x:v>
      </x:c>
    </x:row>
    <x:row r="239">
      <x:c r="A239" s="26" t="n">
        <x:v>238</x:v>
      </x:c>
      <x:c r="B239" s="26" t="str">
        <x:v>Akkar</x:v>
      </x:c>
      <x:c r="C239" s="26" t="str">
        <x:v>Qoubaiyat</x:v>
      </x:c>
      <x:c r="D239" s="26" t="str">
        <x:v>Hatbe w Nar</x:v>
      </x:c>
      <x:c r="E239" s="26" t="str">
        <x:v>Lebanese / grill</x:v>
      </x:c>
      <x:c r="F239" s="26" t="str">
        <x:v>Listed current</x:v>
      </x:c>
      <x:c r="G239" s="26" t="str"/>
      <x:c r="H239" s="28"/>
      <x:c r="I239" s="30"/>
      <x:c r="J239" s="26" t="str"/>
      <x:c r="K239" s="26" t="str">
        <x:v>High</x:v>
      </x:c>
      <x:c r="L239" s="26" t="str">
        <x:v>Current Qoubaiyat town listing — listed open on Google</x:v>
      </x:c>
      <x:c r="M239" s="26" t="str">
        <x:v>https://wenrayhin.com/en/towns/al-qoubaiyat/food_drink</x:v>
      </x:c>
      <x:c r="N239" s="26" t="str">
        <x:v>https://www.google.com/maps/search/?api=1&amp;query=Hatbe+w+Nar%2C+Qoubaiyat%2C+Lebanon</x:v>
      </x:c>
      <x:c r="O239" s="26" t="str"/>
      <x:c r="P239" s="26" t="str">
        <x:v>2026-09-08</x:v>
      </x:c>
    </x:row>
    <x:row r="240">
      <x:c r="A240" s="26" t="n">
        <x:v>239</x:v>
      </x:c>
      <x:c r="B240" s="26" t="str">
        <x:v>Akkar</x:v>
      </x:c>
      <x:c r="C240" s="26" t="str">
        <x:v>Qoubaiyat</x:v>
      </x:c>
      <x:c r="D240" s="26" t="str">
        <x:v>Joe n’ Joe</x:v>
      </x:c>
      <x:c r="E240" s="26" t="str">
        <x:v>Restaurant</x:v>
      </x:c>
      <x:c r="F240" s="26" t="str">
        <x:v>Listed current</x:v>
      </x:c>
      <x:c r="G240" s="26" t="str"/>
      <x:c r="H240" s="28"/>
      <x:c r="I240" s="30"/>
      <x:c r="J240" s="26" t="str"/>
      <x:c r="K240" s="26" t="str">
        <x:v>High</x:v>
      </x:c>
      <x:c r="L240" s="26" t="str">
        <x:v>Current Qoubaiyat town listing — listed open on Google</x:v>
      </x:c>
      <x:c r="M240" s="26" t="str">
        <x:v>https://wenrayhin.com/en/towns/al-qoubaiyat/food_drink</x:v>
      </x:c>
      <x:c r="N240" s="26" t="str">
        <x:v>https://www.google.com/maps/search/?api=1&amp;query=Joe+n%E2%80%99+Joe%2C+Qoubaiyat%2C+Lebanon</x:v>
      </x:c>
      <x:c r="O240" s="26" t="str"/>
      <x:c r="P240" s="26" t="str">
        <x:v>2026-09-08</x:v>
      </x:c>
    </x:row>
    <x:row r="241">
      <x:c r="A241" s="26" t="n">
        <x:v>240</x:v>
      </x:c>
      <x:c r="B241" s="26" t="str">
        <x:v>Akkar</x:v>
      </x:c>
      <x:c r="C241" s="26" t="str">
        <x:v>Qoubaiyat</x:v>
      </x:c>
      <x:c r="D241" s="26" t="str">
        <x:v>Le Gourmet Mankouch</x:v>
      </x:c>
      <x:c r="E241" s="26" t="str">
        <x:v>Restaurant</x:v>
      </x:c>
      <x:c r="F241" s="26" t="str">
        <x:v>Listed current</x:v>
      </x:c>
      <x:c r="G241" s="26" t="str"/>
      <x:c r="H241" s="28"/>
      <x:c r="I241" s="30"/>
      <x:c r="J241" s="26" t="str"/>
      <x:c r="K241" s="26" t="str">
        <x:v>High</x:v>
      </x:c>
      <x:c r="L241" s="26" t="str">
        <x:v>Current Qoubaiyat town listing — listed open on Google</x:v>
      </x:c>
      <x:c r="M241" s="26" t="str">
        <x:v>https://wenrayhin.com/en/towns/al-qoubaiyat/food_drink</x:v>
      </x:c>
      <x:c r="N241" s="26" t="str">
        <x:v>https://www.google.com/maps/search/?api=1&amp;query=Le+Gourmet+Mankouch%2C+Qoubaiyat%2C+Lebanon</x:v>
      </x:c>
      <x:c r="O241" s="26" t="str"/>
      <x:c r="P241" s="26" t="str">
        <x:v>2026-09-08</x:v>
      </x:c>
    </x:row>
    <x:row r="242">
      <x:c r="A242" s="26" t="n">
        <x:v>241</x:v>
      </x:c>
      <x:c r="B242" s="26" t="str">
        <x:v>Akkar</x:v>
      </x:c>
      <x:c r="C242" s="26" t="str">
        <x:v>Qoubaiyat</x:v>
      </x:c>
      <x:c r="D242" s="26" t="str">
        <x:v>MasmaketAlKonayat</x:v>
      </x:c>
      <x:c r="E242" s="26" t="str">
        <x:v>Seafood</x:v>
      </x:c>
      <x:c r="F242" s="26" t="str">
        <x:v>Listed current</x:v>
      </x:c>
      <x:c r="G242" s="26" t="str"/>
      <x:c r="H242" s="28"/>
      <x:c r="I242" s="30"/>
      <x:c r="J242" s="26" t="str"/>
      <x:c r="K242" s="26" t="str">
        <x:v>High</x:v>
      </x:c>
      <x:c r="L242" s="26" t="str">
        <x:v>Current Qoubaiyat town listing — listed open on Google</x:v>
      </x:c>
      <x:c r="M242" s="26" t="str">
        <x:v>https://wenrayhin.com/en/towns/al-qoubaiyat/food_drink</x:v>
      </x:c>
      <x:c r="N242" s="26" t="str">
        <x:v>https://www.google.com/maps/search/?api=1&amp;query=MasmaketAlKonayat%2C+Qoubaiyat%2C+Lebanon</x:v>
      </x:c>
      <x:c r="O242" s="26" t="str"/>
      <x:c r="P242" s="26" t="str">
        <x:v>2026-09-08</x:v>
      </x:c>
    </x:row>
    <x:row r="243">
      <x:c r="A243" s="26" t="n">
        <x:v>242</x:v>
      </x:c>
      <x:c r="B243" s="26" t="str">
        <x:v>Akkar</x:v>
      </x:c>
      <x:c r="C243" s="26" t="str">
        <x:v>Qoubaiyat</x:v>
      </x:c>
      <x:c r="D243" s="26" t="str">
        <x:v>Mataam w Malahi Al Bahireh</x:v>
      </x:c>
      <x:c r="E243" s="26" t="str">
        <x:v>Restaurant</x:v>
      </x:c>
      <x:c r="F243" s="26" t="str">
        <x:v>Listed current</x:v>
      </x:c>
      <x:c r="G243" s="26" t="str"/>
      <x:c r="H243" s="28"/>
      <x:c r="I243" s="30"/>
      <x:c r="J243" s="26" t="str"/>
      <x:c r="K243" s="26" t="str">
        <x:v>High</x:v>
      </x:c>
      <x:c r="L243" s="26" t="str">
        <x:v>Current Qoubaiyat town listing — listed open on Google</x:v>
      </x:c>
      <x:c r="M243" s="26" t="str">
        <x:v>https://wenrayhin.com/en/towns/al-qoubaiyat/food_drink</x:v>
      </x:c>
      <x:c r="N243" s="26" t="str">
        <x:v>https://www.google.com/maps/search/?api=1&amp;query=Mataam+w+Malahi+Al+Bahireh%2C+Qoubaiyat%2C+Lebanon</x:v>
      </x:c>
      <x:c r="O243" s="26" t="str"/>
      <x:c r="P243" s="26" t="str">
        <x:v>2026-09-08</x:v>
      </x:c>
    </x:row>
    <x:row r="244">
      <x:c r="A244" s="26" t="n">
        <x:v>243</x:v>
      </x:c>
      <x:c r="B244" s="26" t="str">
        <x:v>Akkar</x:v>
      </x:c>
      <x:c r="C244" s="26" t="str">
        <x:v>Qoubaiyat</x:v>
      </x:c>
      <x:c r="D244" s="26" t="str">
        <x:v>Mint Restaurant</x:v>
      </x:c>
      <x:c r="E244" s="26" t="str">
        <x:v>Restaurant</x:v>
      </x:c>
      <x:c r="F244" s="26" t="str">
        <x:v>Listed current</x:v>
      </x:c>
      <x:c r="G244" s="26" t="str"/>
      <x:c r="H244" s="28"/>
      <x:c r="I244" s="30"/>
      <x:c r="J244" s="26" t="str"/>
      <x:c r="K244" s="26" t="str">
        <x:v>High</x:v>
      </x:c>
      <x:c r="L244" s="26" t="str">
        <x:v>Current Qoubaiyat town listing — listed open on Google</x:v>
      </x:c>
      <x:c r="M244" s="26" t="str">
        <x:v>https://wenrayhin.com/en/towns/al-qoubaiyat/food_drink</x:v>
      </x:c>
      <x:c r="N244" s="26" t="str">
        <x:v>https://www.google.com/maps/search/?api=1&amp;query=Mint+Restaurant%2C+Qoubaiyat%2C+Lebanon</x:v>
      </x:c>
      <x:c r="O244" s="26" t="str"/>
      <x:c r="P244" s="26" t="str">
        <x:v>2026-09-08</x:v>
      </x:c>
    </x:row>
    <x:row r="245">
      <x:c r="A245" s="26" t="n">
        <x:v>244</x:v>
      </x:c>
      <x:c r="B245" s="26" t="str">
        <x:v>Akkar</x:v>
      </x:c>
      <x:c r="C245" s="26" t="str">
        <x:v>Qoubaiyat</x:v>
      </x:c>
      <x:c r="D245" s="26" t="str">
        <x:v>Monteverde Restaurant and Resort</x:v>
      </x:c>
      <x:c r="E245" s="26" t="str">
        <x:v>Traditional Lebanese</x:v>
      </x:c>
      <x:c r="F245" s="26" t="str">
        <x:v>Listed current</x:v>
      </x:c>
      <x:c r="G245" s="26" t="str"/>
      <x:c r="H245" s="28"/>
      <x:c r="I245" s="30"/>
      <x:c r="J245" s="26" t="str"/>
      <x:c r="K245" s="26" t="str">
        <x:v>High</x:v>
      </x:c>
      <x:c r="L245" s="26" t="str">
        <x:v>Current Qoubaiyat town listing — listed open on Google</x:v>
      </x:c>
      <x:c r="M245" s="26" t="str">
        <x:v>https://wenrayhin.com/en/towns/al-qoubaiyat/food_drink</x:v>
      </x:c>
      <x:c r="N245" s="26" t="str">
        <x:v>https://www.google.com/maps/search/?api=1&amp;query=Monteverde+Restaurant+and+Resort%2C+Qoubaiyat%2C+Lebanon</x:v>
      </x:c>
      <x:c r="O245" s="26" t="str"/>
      <x:c r="P245" s="26" t="str">
        <x:v>2026-09-08</x:v>
      </x:c>
    </x:row>
    <x:row r="246">
      <x:c r="A246" s="26" t="n">
        <x:v>245</x:v>
      </x:c>
      <x:c r="B246" s="26" t="str">
        <x:v>Akkar</x:v>
      </x:c>
      <x:c r="C246" s="26" t="str">
        <x:v>Qoubaiyat</x:v>
      </x:c>
      <x:c r="D246" s="26" t="str">
        <x:v>Peregrine Resto&amp;cafe</x:v>
      </x:c>
      <x:c r="E246" s="26" t="str">
        <x:v>Restaurant / resto-cafe</x:v>
      </x:c>
      <x:c r="F246" s="26" t="str">
        <x:v>Listed current</x:v>
      </x:c>
      <x:c r="G246" s="26" t="str"/>
      <x:c r="H246" s="28"/>
      <x:c r="I246" s="30"/>
      <x:c r="J246" s="26" t="str"/>
      <x:c r="K246" s="26" t="str">
        <x:v>High</x:v>
      </x:c>
      <x:c r="L246" s="26" t="str">
        <x:v>Current Qoubaiyat town listing — listed open on Google</x:v>
      </x:c>
      <x:c r="M246" s="26" t="str">
        <x:v>https://wenrayhin.com/en/towns/al-qoubaiyat/food_drink</x:v>
      </x:c>
      <x:c r="N246" s="26" t="str">
        <x:v>https://www.google.com/maps/search/?api=1&amp;query=Peregrine+Resto%26cafe%2C+Qoubaiyat%2C+Lebanon</x:v>
      </x:c>
      <x:c r="O246" s="26" t="str"/>
      <x:c r="P246" s="26" t="str">
        <x:v>2026-09-08</x:v>
      </x:c>
    </x:row>
    <x:row r="247">
      <x:c r="A247" s="26" t="n">
        <x:v>246</x:v>
      </x:c>
      <x:c r="B247" s="26" t="str">
        <x:v>Akkar</x:v>
      </x:c>
      <x:c r="C247" s="26" t="str">
        <x:v>Qoubaiyat</x:v>
      </x:c>
      <x:c r="D247" s="26" t="str">
        <x:v>Pizzanini Kobayath</x:v>
      </x:c>
      <x:c r="E247" s="26" t="str">
        <x:v>Pizza</x:v>
      </x:c>
      <x:c r="F247" s="26" t="str">
        <x:v>Listed current</x:v>
      </x:c>
      <x:c r="G247" s="26" t="str"/>
      <x:c r="H247" s="28"/>
      <x:c r="I247" s="30"/>
      <x:c r="J247" s="26" t="str"/>
      <x:c r="K247" s="26" t="str">
        <x:v>High</x:v>
      </x:c>
      <x:c r="L247" s="26" t="str">
        <x:v>Current Qoubaiyat town listing — listed open on Google</x:v>
      </x:c>
      <x:c r="M247" s="26" t="str">
        <x:v>https://wenrayhin.com/en/towns/al-qoubaiyat/food_drink</x:v>
      </x:c>
      <x:c r="N247" s="26" t="str">
        <x:v>https://www.google.com/maps/search/?api=1&amp;query=Pizzanini+Kobayath%2C+Qoubaiyat%2C+Lebanon</x:v>
      </x:c>
      <x:c r="O247" s="26" t="str"/>
      <x:c r="P247" s="26" t="str">
        <x:v>2026-09-08</x:v>
      </x:c>
    </x:row>
    <x:row r="248">
      <x:c r="A248" s="26" t="n">
        <x:v>247</x:v>
      </x:c>
      <x:c r="B248" s="26" t="str">
        <x:v>Akkar</x:v>
      </x:c>
      <x:c r="C248" s="26" t="str">
        <x:v>Qoubaiyat</x:v>
      </x:c>
      <x:c r="D248" s="26" t="str">
        <x:v>Restaurant Al Wadi</x:v>
      </x:c>
      <x:c r="E248" s="26" t="str">
        <x:v>Restaurant</x:v>
      </x:c>
      <x:c r="F248" s="26" t="str">
        <x:v>Listed current</x:v>
      </x:c>
      <x:c r="G248" s="26" t="str"/>
      <x:c r="H248" s="28"/>
      <x:c r="I248" s="30"/>
      <x:c r="J248" s="26" t="str"/>
      <x:c r="K248" s="26" t="str">
        <x:v>High</x:v>
      </x:c>
      <x:c r="L248" s="26" t="str">
        <x:v>Current Qoubaiyat town listing — listed open on Google</x:v>
      </x:c>
      <x:c r="M248" s="26" t="str">
        <x:v>https://wenrayhin.com/en/towns/al-qoubaiyat/food_drink</x:v>
      </x:c>
      <x:c r="N248" s="26" t="str">
        <x:v>https://www.google.com/maps/search/?api=1&amp;query=Restaurant+Al+Wadi%2C+Qoubaiyat%2C+Lebanon</x:v>
      </x:c>
      <x:c r="O248" s="26" t="str"/>
      <x:c r="P248" s="26" t="str">
        <x:v>2026-09-08</x:v>
      </x:c>
    </x:row>
    <x:row r="249">
      <x:c r="A249" s="26" t="n">
        <x:v>248</x:v>
      </x:c>
      <x:c r="B249" s="26" t="str">
        <x:v>Akkar</x:v>
      </x:c>
      <x:c r="C249" s="26" t="str">
        <x:v>Qoubaiyat</x:v>
      </x:c>
      <x:c r="D249" s="26" t="str">
        <x:v>Saoud Restaurant</x:v>
      </x:c>
      <x:c r="E249" s="26" t="str">
        <x:v>Restaurant</x:v>
      </x:c>
      <x:c r="F249" s="26" t="str">
        <x:v>Listed current</x:v>
      </x:c>
      <x:c r="G249" s="26" t="str"/>
      <x:c r="H249" s="28"/>
      <x:c r="I249" s="30"/>
      <x:c r="J249" s="26" t="str"/>
      <x:c r="K249" s="26" t="str">
        <x:v>High</x:v>
      </x:c>
      <x:c r="L249" s="26" t="str">
        <x:v>Current Qoubaiyat town listing — listed open on Google</x:v>
      </x:c>
      <x:c r="M249" s="26" t="str">
        <x:v>https://wenrayhin.com/en/towns/al-qoubaiyat/food_drink</x:v>
      </x:c>
      <x:c r="N249" s="26" t="str">
        <x:v>https://www.google.com/maps/search/?api=1&amp;query=Saoud+Restaurant%2C+Qoubaiyat%2C+Lebanon</x:v>
      </x:c>
      <x:c r="O249" s="26" t="str"/>
      <x:c r="P249" s="26" t="str">
        <x:v>2026-09-08</x:v>
      </x:c>
    </x:row>
    <x:row r="250">
      <x:c r="A250" s="26" t="n">
        <x:v>249</x:v>
      </x:c>
      <x:c r="B250" s="26" t="str">
        <x:v>Akkar</x:v>
      </x:c>
      <x:c r="C250" s="26" t="str">
        <x:v>Qoubaiyat</x:v>
      </x:c>
      <x:c r="D250" s="26" t="str">
        <x:v>Zahrtoni Italian Restaurant</x:v>
      </x:c>
      <x:c r="E250" s="26" t="str">
        <x:v>Italian</x:v>
      </x:c>
      <x:c r="F250" s="26" t="str">
        <x:v>Listed current</x:v>
      </x:c>
      <x:c r="G250" s="26" t="str"/>
      <x:c r="H250" s="28"/>
      <x:c r="I250" s="30"/>
      <x:c r="J250" s="26" t="str"/>
      <x:c r="K250" s="26" t="str">
        <x:v>High</x:v>
      </x:c>
      <x:c r="L250" s="26" t="str">
        <x:v>Current Qoubaiyat town listing — listed open on Google</x:v>
      </x:c>
      <x:c r="M250" s="26" t="str">
        <x:v>https://wenrayhin.com/en/towns/al-qoubaiyat/food_drink</x:v>
      </x:c>
      <x:c r="N250" s="26" t="str">
        <x:v>https://www.google.com/maps/search/?api=1&amp;query=Zahrtoni+Italian+Restaurant%2C+Qoubaiyat%2C+Lebanon</x:v>
      </x:c>
      <x:c r="O250" s="26" t="str"/>
      <x:c r="P250" s="26" t="str">
        <x:v>2026-09-08</x:v>
      </x:c>
    </x:row>
    <x:row r="251">
      <x:c r="A251" s="26" t="n">
        <x:v>250</x:v>
      </x:c>
      <x:c r="B251" s="26" t="str">
        <x:v>Akkar</x:v>
      </x:c>
      <x:c r="C251" s="26" t="str">
        <x:v>Miniara</x:v>
      </x:c>
      <x:c r="D251" s="26" t="str">
        <x:v>Al Khal Lebanese Grill</x:v>
      </x:c>
      <x:c r="E251" s="26" t="str">
        <x:v>Lebanese grill</x:v>
      </x:c>
      <x:c r="F251" s="26" t="str">
        <x:v>Listed current</x:v>
      </x:c>
      <x:c r="G251" s="26" t="str"/>
      <x:c r="H251" s="28"/>
      <x:c r="I251" s="30"/>
      <x:c r="J251" s="26" t="str"/>
      <x:c r="K251" s="26" t="str">
        <x:v>High</x:v>
      </x:c>
      <x:c r="L251" s="26" t="str">
        <x:v>Current Miniara town listing</x:v>
      </x:c>
      <x:c r="M251" s="26" t="str">
        <x:v>https://wenrayhin.com/en/towns/miniara</x:v>
      </x:c>
      <x:c r="N251" s="26" t="str">
        <x:v>https://www.google.com/maps/search/?api=1&amp;query=Al+Khal+Lebanese+Grill%2C+Miniara%2C+Lebanon</x:v>
      </x:c>
      <x:c r="O251" s="26" t="str"/>
      <x:c r="P251" s="26" t="str">
        <x:v>2026-09-08</x:v>
      </x:c>
    </x:row>
    <x:row r="252">
      <x:c r="A252" s="26" t="n">
        <x:v>251</x:v>
      </x:c>
      <x:c r="B252" s="26" t="str">
        <x:v>Akkar</x:v>
      </x:c>
      <x:c r="C252" s="26" t="str">
        <x:v>Miniara</x:v>
      </x:c>
      <x:c r="D252" s="26" t="str">
        <x:v>Bakeline</x:v>
      </x:c>
      <x:c r="E252" s="26" t="str">
        <x:v>Restaurant</x:v>
      </x:c>
      <x:c r="F252" s="26" t="str">
        <x:v>Listed current</x:v>
      </x:c>
      <x:c r="G252" s="26" t="str"/>
      <x:c r="H252" s="28"/>
      <x:c r="I252" s="30"/>
      <x:c r="J252" s="26" t="str"/>
      <x:c r="K252" s="26" t="str">
        <x:v>High</x:v>
      </x:c>
      <x:c r="L252" s="26" t="str">
        <x:v>Current Miniara town listing</x:v>
      </x:c>
      <x:c r="M252" s="26" t="str">
        <x:v>https://wenrayhin.com/en/towns/miniara</x:v>
      </x:c>
      <x:c r="N252" s="26" t="str">
        <x:v>https://www.google.com/maps/search/?api=1&amp;query=Bakeline%2C+Miniara%2C+Lebanon</x:v>
      </x:c>
      <x:c r="O252" s="26" t="str"/>
      <x:c r="P252" s="26" t="str">
        <x:v>2026-09-08</x:v>
      </x:c>
    </x:row>
    <x:row r="253">
      <x:c r="A253" s="26" t="n">
        <x:v>252</x:v>
      </x:c>
      <x:c r="B253" s="26" t="str">
        <x:v>Akkar</x:v>
      </x:c>
      <x:c r="C253" s="26" t="str">
        <x:v>Miniara</x:v>
      </x:c>
      <x:c r="D253" s="26" t="str">
        <x:v>Elie Resto</x:v>
      </x:c>
      <x:c r="E253" s="26" t="str">
        <x:v>Restaurant</x:v>
      </x:c>
      <x:c r="F253" s="26" t="str">
        <x:v>Listed current</x:v>
      </x:c>
      <x:c r="G253" s="26" t="str"/>
      <x:c r="H253" s="28"/>
      <x:c r="I253" s="30"/>
      <x:c r="J253" s="26" t="str"/>
      <x:c r="K253" s="26" t="str">
        <x:v>High</x:v>
      </x:c>
      <x:c r="L253" s="26" t="str">
        <x:v>Current Miniara town listing</x:v>
      </x:c>
      <x:c r="M253" s="26" t="str">
        <x:v>https://wenrayhin.com/en/towns/miniara</x:v>
      </x:c>
      <x:c r="N253" s="26" t="str">
        <x:v>https://www.google.com/maps/search/?api=1&amp;query=Elie+Resto%2C+Miniara%2C+Lebanon</x:v>
      </x:c>
      <x:c r="O253" s="26" t="str"/>
      <x:c r="P253" s="26" t="str">
        <x:v>2026-09-08</x:v>
      </x:c>
    </x:row>
    <x:row r="254">
      <x:c r="A254" s="26" t="n">
        <x:v>253</x:v>
      </x:c>
      <x:c r="B254" s="26" t="str">
        <x:v>Akkar</x:v>
      </x:c>
      <x:c r="C254" s="26" t="str">
        <x:v>Miniara</x:v>
      </x:c>
      <x:c r="D254" s="26" t="str">
        <x:v>Gusto - International Cuisine</x:v>
      </x:c>
      <x:c r="E254" s="26" t="str">
        <x:v>International</x:v>
      </x:c>
      <x:c r="F254" s="26" t="str">
        <x:v>Listed current</x:v>
      </x:c>
      <x:c r="G254" s="26" t="str"/>
      <x:c r="H254" s="28"/>
      <x:c r="I254" s="30"/>
      <x:c r="J254" s="26" t="str"/>
      <x:c r="K254" s="26" t="str">
        <x:v>High</x:v>
      </x:c>
      <x:c r="L254" s="26" t="str">
        <x:v>Current Miniara town listing</x:v>
      </x:c>
      <x:c r="M254" s="26" t="str">
        <x:v>https://wenrayhin.com/en/towns/miniara</x:v>
      </x:c>
      <x:c r="N254" s="26" t="str">
        <x:v>https://www.google.com/maps/search/?api=1&amp;query=Gusto+-+International+Cuisine%2C+Miniara%2C+Lebanon</x:v>
      </x:c>
      <x:c r="O254" s="26" t="str"/>
      <x:c r="P254" s="26" t="str">
        <x:v>2026-09-08</x:v>
      </x:c>
    </x:row>
    <x:row r="255">
      <x:c r="A255" s="26" t="n">
        <x:v>254</x:v>
      </x:c>
      <x:c r="B255" s="26" t="str">
        <x:v>Akkar</x:v>
      </x:c>
      <x:c r="C255" s="26" t="str">
        <x:v>Miniara</x:v>
      </x:c>
      <x:c r="D255" s="26" t="str">
        <x:v>La Vie</x:v>
      </x:c>
      <x:c r="E255" s="26" t="str">
        <x:v>Restaurant</x:v>
      </x:c>
      <x:c r="F255" s="26" t="str">
        <x:v>Listed current</x:v>
      </x:c>
      <x:c r="G255" s="26" t="str"/>
      <x:c r="H255" s="28"/>
      <x:c r="I255" s="30"/>
      <x:c r="J255" s="26" t="str"/>
      <x:c r="K255" s="26" t="str">
        <x:v>High</x:v>
      </x:c>
      <x:c r="L255" s="26" t="str">
        <x:v>Current Miniara town listing</x:v>
      </x:c>
      <x:c r="M255" s="26" t="str">
        <x:v>https://wenrayhin.com/en/towns/miniara</x:v>
      </x:c>
      <x:c r="N255" s="26" t="str">
        <x:v>https://www.google.com/maps/search/?api=1&amp;query=La+Vie%2C+Miniara%2C+Lebanon</x:v>
      </x:c>
      <x:c r="O255" s="26" t="str"/>
      <x:c r="P255" s="26" t="str">
        <x:v>2026-09-08</x:v>
      </x:c>
    </x:row>
    <x:row r="256">
      <x:c r="A256" s="26" t="n">
        <x:v>255</x:v>
      </x:c>
      <x:c r="B256" s="26" t="str">
        <x:v>Akkar</x:v>
      </x:c>
      <x:c r="C256" s="26" t="str">
        <x:v>Miniara</x:v>
      </x:c>
      <x:c r="D256" s="26" t="str">
        <x:v>Lee Resto Café</x:v>
      </x:c>
      <x:c r="E256" s="26" t="str">
        <x:v>Traditional Lebanese / resto-cafe</x:v>
      </x:c>
      <x:c r="F256" s="26" t="str">
        <x:v>Listed current</x:v>
      </x:c>
      <x:c r="G256" s="26" t="str"/>
      <x:c r="H256" s="28"/>
      <x:c r="I256" s="30"/>
      <x:c r="J256" s="26" t="str"/>
      <x:c r="K256" s="26" t="str">
        <x:v>High</x:v>
      </x:c>
      <x:c r="L256" s="26" t="str">
        <x:v>Current Miniara town listing</x:v>
      </x:c>
      <x:c r="M256" s="26" t="str">
        <x:v>https://wenrayhin.com/en/towns/miniara</x:v>
      </x:c>
      <x:c r="N256" s="26" t="str">
        <x:v>https://www.google.com/maps/search/?api=1&amp;query=Lee+Resto+Caf%C3%A9%2C+Miniara%2C+Lebanon</x:v>
      </x:c>
      <x:c r="O256" s="26" t="str"/>
      <x:c r="P256" s="26" t="str">
        <x:v>2026-09-08</x:v>
      </x:c>
    </x:row>
    <x:row r="257">
      <x:c r="A257" s="26" t="n">
        <x:v>256</x:v>
      </x:c>
      <x:c r="B257" s="26" t="str">
        <x:v>Akkar</x:v>
      </x:c>
      <x:c r="C257" s="26" t="str">
        <x:v>Miniara</x:v>
      </x:c>
      <x:c r="D257" s="26" t="str">
        <x:v>Naim Snack</x:v>
      </x:c>
      <x:c r="E257" s="26" t="str">
        <x:v>Traditional Lebanese</x:v>
      </x:c>
      <x:c r="F257" s="26" t="str">
        <x:v>Listed current</x:v>
      </x:c>
      <x:c r="G257" s="26" t="str"/>
      <x:c r="H257" s="28"/>
      <x:c r="I257" s="30"/>
      <x:c r="J257" s="26" t="str"/>
      <x:c r="K257" s="26" t="str">
        <x:v>High</x:v>
      </x:c>
      <x:c r="L257" s="26" t="str">
        <x:v>Current Miniara town listing</x:v>
      </x:c>
      <x:c r="M257" s="26" t="str">
        <x:v>https://wenrayhin.com/en/towns/miniara</x:v>
      </x:c>
      <x:c r="N257" s="26" t="str">
        <x:v>https://www.google.com/maps/search/?api=1&amp;query=Naim+Snack%2C+Miniara%2C+Lebanon</x:v>
      </x:c>
      <x:c r="O257" s="26" t="str"/>
      <x:c r="P257" s="26" t="str">
        <x:v>2026-09-08</x:v>
      </x:c>
    </x:row>
    <x:row r="258">
      <x:c r="A258" s="26" t="n">
        <x:v>257</x:v>
      </x:c>
      <x:c r="B258" s="26" t="str">
        <x:v>Akkar</x:v>
      </x:c>
      <x:c r="C258" s="26" t="str">
        <x:v>Miniara</x:v>
      </x:c>
      <x:c r="D258" s="26" t="str">
        <x:v>Paradise Wedding Hall Restaurant</x:v>
      </x:c>
      <x:c r="E258" s="26" t="str">
        <x:v>Restaurant / events</x:v>
      </x:c>
      <x:c r="F258" s="26" t="str">
        <x:v>Listed current</x:v>
      </x:c>
      <x:c r="G258" s="26" t="str"/>
      <x:c r="H258" s="28"/>
      <x:c r="I258" s="30"/>
      <x:c r="J258" s="26" t="str"/>
      <x:c r="K258" s="26" t="str">
        <x:v>High</x:v>
      </x:c>
      <x:c r="L258" s="26" t="str">
        <x:v>Current Miniara town listing</x:v>
      </x:c>
      <x:c r="M258" s="26" t="str">
        <x:v>https://wenrayhin.com/en/towns/miniara</x:v>
      </x:c>
      <x:c r="N258" s="26" t="str">
        <x:v>https://www.google.com/maps/search/?api=1&amp;query=Paradise+Wedding+Hall+Restaurant%2C+Miniara%2C+Lebanon</x:v>
      </x:c>
      <x:c r="O258" s="26" t="str"/>
      <x:c r="P258" s="26" t="str">
        <x:v>2026-09-08</x:v>
      </x:c>
    </x:row>
    <x:row r="259">
      <x:c r="A259" s="26" t="n">
        <x:v>258</x:v>
      </x:c>
      <x:c r="B259" s="26" t="str">
        <x:v>Akkar</x:v>
      </x:c>
      <x:c r="C259" s="26" t="str">
        <x:v>Miniara</x:v>
      </x:c>
      <x:c r="D259" s="26" t="str">
        <x:v>Tahoune Al Hakour</x:v>
      </x:c>
      <x:c r="E259" s="26" t="str">
        <x:v>Restaurant</x:v>
      </x:c>
      <x:c r="F259" s="26" t="str">
        <x:v>Listed current</x:v>
      </x:c>
      <x:c r="G259" s="26" t="str"/>
      <x:c r="H259" s="28"/>
      <x:c r="I259" s="30"/>
      <x:c r="J259" s="26" t="str"/>
      <x:c r="K259" s="26" t="str">
        <x:v>High</x:v>
      </x:c>
      <x:c r="L259" s="26" t="str">
        <x:v>Current Miniara town listing</x:v>
      </x:c>
      <x:c r="M259" s="26" t="str">
        <x:v>https://wenrayhin.com/en/towns/miniara</x:v>
      </x:c>
      <x:c r="N259" s="26" t="str">
        <x:v>https://www.google.com/maps/search/?api=1&amp;query=Tahoune+Al+Hakour%2C+Miniara%2C+Lebanon</x:v>
      </x:c>
      <x:c r="O259" s="26" t="str"/>
      <x:c r="P259" s="26" t="str">
        <x:v>2026-09-08</x:v>
      </x:c>
    </x:row>
    <x:row r="260">
      <x:c r="A260" s="26" t="n">
        <x:v>259</x:v>
      </x:c>
      <x:c r="B260" s="26" t="str">
        <x:v>Akkar</x:v>
      </x:c>
      <x:c r="C260" s="26" t="str">
        <x:v>Aandqet / Andakit</x:v>
      </x:c>
      <x:c r="D260" s="26" t="str">
        <x:v>Bito's Café</x:v>
      </x:c>
      <x:c r="E260" s="26" t="str">
        <x:v>Restaurant</x:v>
      </x:c>
      <x:c r="F260" s="26" t="str">
        <x:v>Listed current</x:v>
      </x:c>
      <x:c r="G260" s="26" t="str"/>
      <x:c r="H260" s="28"/>
      <x:c r="I260" s="30"/>
      <x:c r="J260" s="26" t="str"/>
      <x:c r="K260" s="26" t="str">
        <x:v>High</x:v>
      </x:c>
      <x:c r="L260" s="26" t="str">
        <x:v>Current Andakit town listing</x:v>
      </x:c>
      <x:c r="M260" s="26" t="str">
        <x:v>https://wenrayhin.com/en/towns/andakit</x:v>
      </x:c>
      <x:c r="N260" s="26" t="str">
        <x:v>https://www.google.com/maps/search/?api=1&amp;query=Bito%27s+Caf%C3%A9%2C+Aandqet+%2F+Andakit%2C+Lebanon</x:v>
      </x:c>
      <x:c r="O260" s="26" t="str"/>
      <x:c r="P260" s="26" t="str">
        <x:v>2026-09-08</x:v>
      </x:c>
    </x:row>
    <x:row r="261">
      <x:c r="A261" s="26" t="n">
        <x:v>260</x:v>
      </x:c>
      <x:c r="B261" s="26" t="str">
        <x:v>Akkar</x:v>
      </x:c>
      <x:c r="C261" s="26" t="str">
        <x:v>Aandqet / Andakit</x:v>
      </x:c>
      <x:c r="D261" s="26" t="str">
        <x:v>Robin's Restaurant</x:v>
      </x:c>
      <x:c r="E261" s="26" t="str">
        <x:v>Restaurant</x:v>
      </x:c>
      <x:c r="F261" s="26" t="str">
        <x:v>Listed current</x:v>
      </x:c>
      <x:c r="G261" s="26" t="str"/>
      <x:c r="H261" s="28"/>
      <x:c r="I261" s="30"/>
      <x:c r="J261" s="26" t="str"/>
      <x:c r="K261" s="26" t="str">
        <x:v>High</x:v>
      </x:c>
      <x:c r="L261" s="26" t="str">
        <x:v>Current Andakit town listing</x:v>
      </x:c>
      <x:c r="M261" s="26" t="str">
        <x:v>https://wenrayhin.com/en/towns/andakit</x:v>
      </x:c>
      <x:c r="N261" s="26" t="str">
        <x:v>https://www.google.com/maps/search/?api=1&amp;query=Robin%27s+Restaurant%2C+Aandqet+%2F+Andakit%2C+Lebanon</x:v>
      </x:c>
      <x:c r="O261" s="26" t="str"/>
      <x:c r="P261" s="26" t="str">
        <x:v>2026-09-08</x:v>
      </x:c>
    </x:row>
    <x:row r="262">
      <x:c r="A262" s="26" t="n">
        <x:v>261</x:v>
      </x:c>
      <x:c r="B262" s="26" t="str">
        <x:v>Akkar</x:v>
      </x:c>
      <x:c r="C262" s="26" t="str">
        <x:v>Aandqet / Andakit</x:v>
      </x:c>
      <x:c r="D262" s="26" t="str">
        <x:v>Salim Restaurant</x:v>
      </x:c>
      <x:c r="E262" s="26" t="str">
        <x:v>Restaurant</x:v>
      </x:c>
      <x:c r="F262" s="26" t="str">
        <x:v>Listed current</x:v>
      </x:c>
      <x:c r="G262" s="26" t="str"/>
      <x:c r="H262" s="28"/>
      <x:c r="I262" s="30"/>
      <x:c r="J262" s="26" t="str"/>
      <x:c r="K262" s="26" t="str">
        <x:v>High</x:v>
      </x:c>
      <x:c r="L262" s="26" t="str">
        <x:v>Current Andakit town listing</x:v>
      </x:c>
      <x:c r="M262" s="26" t="str">
        <x:v>https://wenrayhin.com/en/towns/andakit</x:v>
      </x:c>
      <x:c r="N262" s="26" t="str">
        <x:v>https://www.google.com/maps/search/?api=1&amp;query=Salim+Restaurant%2C+Aandqet+%2F+Andakit%2C+Lebanon</x:v>
      </x:c>
      <x:c r="O262" s="26" t="str"/>
      <x:c r="P262" s="26" t="str">
        <x:v>2026-09-08</x:v>
      </x:c>
    </x:row>
    <x:row r="263">
      <x:c r="A263" s="26" t="n">
        <x:v>262</x:v>
      </x:c>
      <x:c r="B263" s="26" t="str">
        <x:v>Akkar</x:v>
      </x:c>
      <x:c r="C263" s="26" t="str">
        <x:v>Aandqet / Andakit</x:v>
      </x:c>
      <x:c r="D263" s="26" t="str">
        <x:v>Saturday’s Main Kitchen</x:v>
      </x:c>
      <x:c r="E263" s="26" t="str">
        <x:v>Restaurant</x:v>
      </x:c>
      <x:c r="F263" s="26" t="str">
        <x:v>Listed current</x:v>
      </x:c>
      <x:c r="G263" s="26" t="str"/>
      <x:c r="H263" s="28"/>
      <x:c r="I263" s="30"/>
      <x:c r="J263" s="26" t="str"/>
      <x:c r="K263" s="26" t="str">
        <x:v>High</x:v>
      </x:c>
      <x:c r="L263" s="26" t="str">
        <x:v>Current Andakit town listing</x:v>
      </x:c>
      <x:c r="M263" s="26" t="str">
        <x:v>https://wenrayhin.com/en/towns/andakit</x:v>
      </x:c>
      <x:c r="N263" s="26" t="str">
        <x:v>https://www.google.com/maps/search/?api=1&amp;query=Saturday%E2%80%99s+Main+Kitchen%2C+Aandqet+%2F+Andakit%2C+Lebanon</x:v>
      </x:c>
      <x:c r="O263" s="26" t="str"/>
      <x:c r="P263" s="26" t="str">
        <x:v>2026-09-08</x:v>
      </x:c>
    </x:row>
    <x:row r="264">
      <x:c r="A264" s="26" t="n">
        <x:v>263</x:v>
      </x:c>
      <x:c r="B264" s="26" t="str">
        <x:v>Akkar</x:v>
      </x:c>
      <x:c r="C264" s="26" t="str">
        <x:v>Aandqet / Andakit</x:v>
      </x:c>
      <x:c r="D264" s="26" t="str">
        <x:v>Saturday’s Resto Cafe</x:v>
      </x:c>
      <x:c r="E264" s="26" t="str">
        <x:v>Restaurant / resto-cafe</x:v>
      </x:c>
      <x:c r="F264" s="26" t="str">
        <x:v>Listed current</x:v>
      </x:c>
      <x:c r="G264" s="26" t="str"/>
      <x:c r="H264" s="28"/>
      <x:c r="I264" s="30"/>
      <x:c r="J264" s="26" t="str"/>
      <x:c r="K264" s="26" t="str">
        <x:v>High</x:v>
      </x:c>
      <x:c r="L264" s="26" t="str">
        <x:v>Current Andakit town listing</x:v>
      </x:c>
      <x:c r="M264" s="26" t="str">
        <x:v>https://wenrayhin.com/en/towns/andakit</x:v>
      </x:c>
      <x:c r="N264" s="26" t="str">
        <x:v>https://www.google.com/maps/search/?api=1&amp;query=Saturday%E2%80%99s+Resto+Cafe%2C+Aandqet+%2F+Andakit%2C+Lebanon</x:v>
      </x:c>
      <x:c r="O264" s="26" t="str"/>
      <x:c r="P264" s="26" t="str">
        <x:v>2026-09-08</x:v>
      </x:c>
    </x:row>
    <x:row r="265">
      <x:c r="A265" s="26" t="n">
        <x:v>264</x:v>
      </x:c>
      <x:c r="B265" s="26" t="str">
        <x:v>Akkar</x:v>
      </x:c>
      <x:c r="C265" s="26" t="str">
        <x:v>Aandqet / Andakit</x:v>
      </x:c>
      <x:c r="D265" s="26" t="str">
        <x:v>Tannour Abou Khanjar</x:v>
      </x:c>
      <x:c r="E265" s="26" t="str">
        <x:v>Restaurant</x:v>
      </x:c>
      <x:c r="F265" s="26" t="str">
        <x:v>Listed current</x:v>
      </x:c>
      <x:c r="G265" s="26" t="str"/>
      <x:c r="H265" s="28"/>
      <x:c r="I265" s="30"/>
      <x:c r="J265" s="26" t="str"/>
      <x:c r="K265" s="26" t="str">
        <x:v>High</x:v>
      </x:c>
      <x:c r="L265" s="26" t="str">
        <x:v>Current Andakit town listing</x:v>
      </x:c>
      <x:c r="M265" s="26" t="str">
        <x:v>https://wenrayhin.com/en/towns/andakit</x:v>
      </x:c>
      <x:c r="N265" s="26" t="str">
        <x:v>https://www.google.com/maps/search/?api=1&amp;query=Tannour+Abou+Khanjar%2C+Aandqet+%2F+Andakit%2C+Lebanon</x:v>
      </x:c>
      <x:c r="O265" s="26" t="str"/>
      <x:c r="P265" s="26" t="str">
        <x:v>2026-09-08</x:v>
      </x:c>
    </x:row>
    <x:row r="266">
      <x:c r="A266" s="26" t="n">
        <x:v>265</x:v>
      </x:c>
      <x:c r="B266" s="26" t="str">
        <x:v>Akkar</x:v>
      </x:c>
      <x:c r="C266" s="26" t="str">
        <x:v>Bebnine</x:v>
      </x:c>
      <x:c r="D266" s="26" t="str">
        <x:v>Al Marabi</x:v>
      </x:c>
      <x:c r="E266" s="26" t="str">
        <x:v>Restaurant</x:v>
      </x:c>
      <x:c r="F266" s="26" t="str">
        <x:v>Listed current</x:v>
      </x:c>
      <x:c r="G266" s="26" t="str"/>
      <x:c r="H266" s="28"/>
      <x:c r="I266" s="30"/>
      <x:c r="J266" s="26" t="str"/>
      <x:c r="K266" s="26" t="str">
        <x:v>High</x:v>
      </x:c>
      <x:c r="L266" s="26" t="str">
        <x:v>Current Bebnine town listing</x:v>
      </x:c>
      <x:c r="M266" s="26" t="str">
        <x:v>https://wenrayhin.com/en/towns/bebnine</x:v>
      </x:c>
      <x:c r="N266" s="26" t="str">
        <x:v>https://www.google.com/maps/search/?api=1&amp;query=Al+Marabi%2C+Bebnine%2C+Lebanon</x:v>
      </x:c>
      <x:c r="O266" s="26" t="str"/>
      <x:c r="P266" s="26" t="str">
        <x:v>2026-09-08</x:v>
      </x:c>
    </x:row>
    <x:row r="267">
      <x:c r="A267" s="26" t="n">
        <x:v>266</x:v>
      </x:c>
      <x:c r="B267" s="26" t="str">
        <x:v>Akkar</x:v>
      </x:c>
      <x:c r="C267" s="26" t="str">
        <x:v>Bebnine</x:v>
      </x:c>
      <x:c r="D267" s="26" t="str">
        <x:v>Frouj w Maqtaat Bebnine</x:v>
      </x:c>
      <x:c r="E267" s="26" t="str">
        <x:v>Chicken restaurant</x:v>
      </x:c>
      <x:c r="F267" s="26" t="str">
        <x:v>Listed current</x:v>
      </x:c>
      <x:c r="G267" s="26" t="str"/>
      <x:c r="H267" s="28"/>
      <x:c r="I267" s="30"/>
      <x:c r="J267" s="26" t="str"/>
      <x:c r="K267" s="26" t="str">
        <x:v>High</x:v>
      </x:c>
      <x:c r="L267" s="26" t="str">
        <x:v>Current Bebnine town listing</x:v>
      </x:c>
      <x:c r="M267" s="26" t="str">
        <x:v>https://wenrayhin.com/en/towns/bebnine</x:v>
      </x:c>
      <x:c r="N267" s="26" t="str">
        <x:v>https://www.google.com/maps/search/?api=1&amp;query=Frouj+w+Maqtaat+Bebnine%2C+Bebnine%2C+Lebanon</x:v>
      </x:c>
      <x:c r="O267" s="26" t="str"/>
      <x:c r="P267" s="26" t="str">
        <x:v>2026-09-08</x:v>
      </x:c>
    </x:row>
    <x:row r="268">
      <x:c r="A268" s="26" t="n">
        <x:v>267</x:v>
      </x:c>
      <x:c r="B268" s="26" t="str">
        <x:v>Akkar</x:v>
      </x:c>
      <x:c r="C268" s="26" t="str">
        <x:v>Bebnine</x:v>
      </x:c>
      <x:c r="D268" s="26" t="str">
        <x:v>Healthy by Wael</x:v>
      </x:c>
      <x:c r="E268" s="26" t="str">
        <x:v>Restaurant</x:v>
      </x:c>
      <x:c r="F268" s="26" t="str">
        <x:v>Listed current</x:v>
      </x:c>
      <x:c r="G268" s="26" t="str"/>
      <x:c r="H268" s="28"/>
      <x:c r="I268" s="30"/>
      <x:c r="J268" s="26" t="str"/>
      <x:c r="K268" s="26" t="str">
        <x:v>High</x:v>
      </x:c>
      <x:c r="L268" s="26" t="str">
        <x:v>Current Bebnine town listing</x:v>
      </x:c>
      <x:c r="M268" s="26" t="str">
        <x:v>https://wenrayhin.com/en/towns/bebnine</x:v>
      </x:c>
      <x:c r="N268" s="26" t="str">
        <x:v>https://www.google.com/maps/search/?api=1&amp;query=Healthy+by+Wael%2C+Bebnine%2C+Lebanon</x:v>
      </x:c>
      <x:c r="O268" s="26" t="str"/>
      <x:c r="P268" s="26" t="str">
        <x:v>2026-09-08</x:v>
      </x:c>
    </x:row>
    <x:row r="269">
      <x:c r="A269" s="26" t="n">
        <x:v>268</x:v>
      </x:c>
      <x:c r="B269" s="26" t="str">
        <x:v>Akkar</x:v>
      </x:c>
      <x:c r="C269" s="26" t="str">
        <x:v>Bebnine</x:v>
      </x:c>
      <x:c r="D269" s="26" t="str">
        <x:v>Houssam Crepe</x:v>
      </x:c>
      <x:c r="E269" s="26" t="str">
        <x:v>Restaurant / crepe</x:v>
      </x:c>
      <x:c r="F269" s="26" t="str">
        <x:v>Listed current</x:v>
      </x:c>
      <x:c r="G269" s="26" t="str"/>
      <x:c r="H269" s="28"/>
      <x:c r="I269" s="30"/>
      <x:c r="J269" s="26" t="str"/>
      <x:c r="K269" s="26" t="str">
        <x:v>High</x:v>
      </x:c>
      <x:c r="L269" s="26" t="str">
        <x:v>Current Bebnine town listing</x:v>
      </x:c>
      <x:c r="M269" s="26" t="str">
        <x:v>https://wenrayhin.com/en/towns/bebnine</x:v>
      </x:c>
      <x:c r="N269" s="26" t="str">
        <x:v>https://www.google.com/maps/search/?api=1&amp;query=Houssam+Crepe%2C+Bebnine%2C+Lebanon</x:v>
      </x:c>
      <x:c r="O269" s="26" t="str"/>
      <x:c r="P269" s="26" t="str">
        <x:v>2026-09-08</x:v>
      </x:c>
    </x:row>
    <x:row r="270">
      <x:c r="A270" s="26" t="n">
        <x:v>269</x:v>
      </x:c>
      <x:c r="B270" s="26" t="str">
        <x:v>Akkar</x:v>
      </x:c>
      <x:c r="C270" s="26" t="str">
        <x:v>Bebnine</x:v>
      </x:c>
      <x:c r="D270" s="26" t="str">
        <x:v>Maajnat Hazim</x:v>
      </x:c>
      <x:c r="E270" s="26" t="str">
        <x:v>Restaurant / pastries</x:v>
      </x:c>
      <x:c r="F270" s="26" t="str">
        <x:v>Listed current</x:v>
      </x:c>
      <x:c r="G270" s="26" t="str"/>
      <x:c r="H270" s="28"/>
      <x:c r="I270" s="30"/>
      <x:c r="J270" s="26" t="str"/>
      <x:c r="K270" s="26" t="str">
        <x:v>High</x:v>
      </x:c>
      <x:c r="L270" s="26" t="str">
        <x:v>Current Bebnine town listing</x:v>
      </x:c>
      <x:c r="M270" s="26" t="str">
        <x:v>https://wenrayhin.com/en/towns/bebnine</x:v>
      </x:c>
      <x:c r="N270" s="26" t="str">
        <x:v>https://www.google.com/maps/search/?api=1&amp;query=Maajnat+Hazim%2C+Bebnine%2C+Lebanon</x:v>
      </x:c>
      <x:c r="O270" s="26" t="str"/>
      <x:c r="P270" s="26" t="str">
        <x:v>2026-09-08</x:v>
      </x:c>
    </x:row>
    <x:row r="271">
      <x:c r="A271" s="26" t="n">
        <x:v>270</x:v>
      </x:c>
      <x:c r="B271" s="26" t="str">
        <x:v>Akkar</x:v>
      </x:c>
      <x:c r="C271" s="26" t="str">
        <x:v>Bebnine</x:v>
      </x:c>
      <x:c r="D271" s="26" t="str">
        <x:v>Mataam Fatteh w Foul Abu Ghandour</x:v>
      </x:c>
      <x:c r="E271" s="26" t="str">
        <x:v>Breakfast</x:v>
      </x:c>
      <x:c r="F271" s="26" t="str">
        <x:v>Listed current</x:v>
      </x:c>
      <x:c r="G271" s="26" t="str"/>
      <x:c r="H271" s="28"/>
      <x:c r="I271" s="30"/>
      <x:c r="J271" s="26" t="str"/>
      <x:c r="K271" s="26" t="str">
        <x:v>High</x:v>
      </x:c>
      <x:c r="L271" s="26" t="str">
        <x:v>Current Bebnine town listing</x:v>
      </x:c>
      <x:c r="M271" s="26" t="str">
        <x:v>https://wenrayhin.com/en/towns/bebnine</x:v>
      </x:c>
      <x:c r="N271" s="26" t="str">
        <x:v>https://www.google.com/maps/search/?api=1&amp;query=Mataam+Fatteh+w+Foul+Abu+Ghandour%2C+Bebnine%2C+Lebanon</x:v>
      </x:c>
      <x:c r="O271" s="26" t="str"/>
      <x:c r="P271" s="26" t="str">
        <x:v>2026-09-08</x:v>
      </x:c>
    </x:row>
    <x:row r="272">
      <x:c r="A272" s="26" t="n">
        <x:v>271</x:v>
      </x:c>
      <x:c r="B272" s="26" t="str">
        <x:v>Akkar</x:v>
      </x:c>
      <x:c r="C272" s="26" t="str">
        <x:v>Bebnine</x:v>
      </x:c>
      <x:c r="D272" s="26" t="str">
        <x:v>Nesreen Restaurant</x:v>
      </x:c>
      <x:c r="E272" s="26" t="str">
        <x:v>Restaurant</x:v>
      </x:c>
      <x:c r="F272" s="26" t="str">
        <x:v>Listed current</x:v>
      </x:c>
      <x:c r="G272" s="26" t="str"/>
      <x:c r="H272" s="28"/>
      <x:c r="I272" s="30"/>
      <x:c r="J272" s="26" t="str"/>
      <x:c r="K272" s="26" t="str">
        <x:v>High</x:v>
      </x:c>
      <x:c r="L272" s="26" t="str">
        <x:v>Current Bebnine town listing</x:v>
      </x:c>
      <x:c r="M272" s="26" t="str">
        <x:v>https://wenrayhin.com/en/towns/bebnine</x:v>
      </x:c>
      <x:c r="N272" s="26" t="str">
        <x:v>https://www.google.com/maps/search/?api=1&amp;query=Nesreen+Restaurant%2C+Bebnine%2C+Lebanon</x:v>
      </x:c>
      <x:c r="O272" s="26" t="str"/>
      <x:c r="P272" s="26" t="str">
        <x:v>2026-09-08</x:v>
      </x:c>
    </x:row>
    <x:row r="273">
      <x:c r="A273" s="26" t="n">
        <x:v>272</x:v>
      </x:c>
      <x:c r="B273" s="26" t="str">
        <x:v>Akkar</x:v>
      </x:c>
      <x:c r="C273" s="26" t="str">
        <x:v>Bebnine</x:v>
      </x:c>
      <x:c r="D273" s="26" t="str">
        <x:v>Pastry King Fawaz</x:v>
      </x:c>
      <x:c r="E273" s="26" t="str">
        <x:v>Restaurant / pastry</x:v>
      </x:c>
      <x:c r="F273" s="26" t="str">
        <x:v>Listed current</x:v>
      </x:c>
      <x:c r="G273" s="26" t="str"/>
      <x:c r="H273" s="28"/>
      <x:c r="I273" s="30"/>
      <x:c r="J273" s="26" t="str"/>
      <x:c r="K273" s="26" t="str">
        <x:v>High</x:v>
      </x:c>
      <x:c r="L273" s="26" t="str">
        <x:v>Current Bebnine town listing</x:v>
      </x:c>
      <x:c r="M273" s="26" t="str">
        <x:v>https://wenrayhin.com/en/towns/bebnine</x:v>
      </x:c>
      <x:c r="N273" s="26" t="str">
        <x:v>https://www.google.com/maps/search/?api=1&amp;query=Pastry+King+Fawaz%2C+Bebnine%2C+Lebanon</x:v>
      </x:c>
      <x:c r="O273" s="26" t="str"/>
      <x:c r="P273" s="26" t="str">
        <x:v>2026-09-08</x:v>
      </x:c>
    </x:row>
    <x:row r="274">
      <x:c r="A274" s="26" t="n">
        <x:v>273</x:v>
      </x:c>
      <x:c r="B274" s="26" t="str">
        <x:v>Akkar</x:v>
      </x:c>
      <x:c r="C274" s="26" t="str">
        <x:v>Bebnine</x:v>
      </x:c>
      <x:c r="D274" s="26" t="str">
        <x:v>Site Sweet</x:v>
      </x:c>
      <x:c r="E274" s="26" t="str">
        <x:v>Restaurant</x:v>
      </x:c>
      <x:c r="F274" s="26" t="str">
        <x:v>Listed current</x:v>
      </x:c>
      <x:c r="G274" s="26" t="str"/>
      <x:c r="H274" s="28"/>
      <x:c r="I274" s="30"/>
      <x:c r="J274" s="26" t="str"/>
      <x:c r="K274" s="26" t="str">
        <x:v>High</x:v>
      </x:c>
      <x:c r="L274" s="26" t="str">
        <x:v>Current Bebnine town listing</x:v>
      </x:c>
      <x:c r="M274" s="26" t="str">
        <x:v>https://wenrayhin.com/en/towns/bebnine</x:v>
      </x:c>
      <x:c r="N274" s="26" t="str">
        <x:v>https://www.google.com/maps/search/?api=1&amp;query=Site+Sweet%2C+Bebnine%2C+Lebanon</x:v>
      </x:c>
      <x:c r="O274" s="26" t="str"/>
      <x:c r="P274" s="26" t="str">
        <x:v>2026-09-08</x:v>
      </x:c>
    </x:row>
    <x:row r="275">
      <x:c r="A275" s="26" t="n">
        <x:v>274</x:v>
      </x:c>
      <x:c r="B275" s="26" t="str">
        <x:v>Akkar</x:v>
      </x:c>
      <x:c r="C275" s="26" t="str">
        <x:v>Bebnine</x:v>
      </x:c>
      <x:c r="D275" s="26" t="str">
        <x:v>Snack Al Khawaja</x:v>
      </x:c>
      <x:c r="E275" s="26" t="str">
        <x:v>Street food</x:v>
      </x:c>
      <x:c r="F275" s="26" t="str">
        <x:v>Listed current</x:v>
      </x:c>
      <x:c r="G275" s="26" t="str"/>
      <x:c r="H275" s="28"/>
      <x:c r="I275" s="30"/>
      <x:c r="J275" s="26" t="str"/>
      <x:c r="K275" s="26" t="str">
        <x:v>High</x:v>
      </x:c>
      <x:c r="L275" s="26" t="str">
        <x:v>Current Bebnine town listing</x:v>
      </x:c>
      <x:c r="M275" s="26" t="str">
        <x:v>https://wenrayhin.com/en/towns/bebnine</x:v>
      </x:c>
      <x:c r="N275" s="26" t="str">
        <x:v>https://www.google.com/maps/search/?api=1&amp;query=Snack+Al+Khawaja%2C+Bebnine%2C+Lebanon</x:v>
      </x:c>
      <x:c r="O275" s="26" t="str"/>
      <x:c r="P275" s="26" t="str">
        <x:v>2026-09-08</x:v>
      </x:c>
    </x:row>
    <x:row r="276">
      <x:c r="A276" s="26" t="n">
        <x:v>275</x:v>
      </x:c>
      <x:c r="B276" s="26" t="str">
        <x:v>Akkar</x:v>
      </x:c>
      <x:c r="C276" s="26" t="str">
        <x:v>Aabdeh</x:v>
      </x:c>
      <x:c r="D276" s="26" t="str">
        <x:v>Beit Al Diyafe</x:v>
      </x:c>
      <x:c r="E276" s="26" t="str">
        <x:v>Restaurant</x:v>
      </x:c>
      <x:c r="F276" s="26" t="str">
        <x:v>Listed current</x:v>
      </x:c>
      <x:c r="G276" s="26" t="str"/>
      <x:c r="H276" s="28"/>
      <x:c r="I276" s="30"/>
      <x:c r="J276" s="26" t="str"/>
      <x:c r="K276" s="26" t="str">
        <x:v>High</x:v>
      </x:c>
      <x:c r="L276" s="26" t="str">
        <x:v>Current Aabdeh town listing</x:v>
      </x:c>
      <x:c r="M276" s="26" t="str">
        <x:v>https://wenrayhin.com/en/towns/aabdeh</x:v>
      </x:c>
      <x:c r="N276" s="26" t="str">
        <x:v>https://www.google.com/maps/search/?api=1&amp;query=Beit+Al+Diyafe%2C+Aabdeh%2C+Lebanon</x:v>
      </x:c>
      <x:c r="O276" s="26" t="str"/>
      <x:c r="P276" s="26" t="str">
        <x:v>2026-09-08</x:v>
      </x:c>
    </x:row>
    <x:row r="277">
      <x:c r="A277" s="26" t="n">
        <x:v>276</x:v>
      </x:c>
      <x:c r="B277" s="26" t="str">
        <x:v>Akkar</x:v>
      </x:c>
      <x:c r="C277" s="26" t="str">
        <x:v>Aabdeh</x:v>
      </x:c>
      <x:c r="D277" s="26" t="str">
        <x:v>Mataam Al Asala</x:v>
      </x:c>
      <x:c r="E277" s="26" t="str">
        <x:v>Restaurant</x:v>
      </x:c>
      <x:c r="F277" s="26" t="str">
        <x:v>Listed current</x:v>
      </x:c>
      <x:c r="G277" s="26" t="str"/>
      <x:c r="H277" s="28"/>
      <x:c r="I277" s="30"/>
      <x:c r="J277" s="26" t="str"/>
      <x:c r="K277" s="26" t="str">
        <x:v>High</x:v>
      </x:c>
      <x:c r="L277" s="26" t="str">
        <x:v>Current Aabdeh town listing</x:v>
      </x:c>
      <x:c r="M277" s="26" t="str">
        <x:v>https://wenrayhin.com/en/towns/aabdeh</x:v>
      </x:c>
      <x:c r="N277" s="26" t="str">
        <x:v>https://www.google.com/maps/search/?api=1&amp;query=Mataam+Al+Asala%2C+Aabdeh%2C+Lebanon</x:v>
      </x:c>
      <x:c r="O277" s="26" t="str"/>
      <x:c r="P277" s="26" t="str">
        <x:v>2026-09-08</x:v>
      </x:c>
    </x:row>
    <x:row r="278">
      <x:c r="A278" s="26" t="n">
        <x:v>277</x:v>
      </x:c>
      <x:c r="B278" s="26" t="str">
        <x:v>Akkar</x:v>
      </x:c>
      <x:c r="C278" s="26" t="str">
        <x:v>Aabdeh</x:v>
      </x:c>
      <x:c r="D278" s="26" t="str">
        <x:v>Mataam Layali Al Ward</x:v>
      </x:c>
      <x:c r="E278" s="26" t="str">
        <x:v>Restaurant</x:v>
      </x:c>
      <x:c r="F278" s="26" t="str">
        <x:v>Listed current</x:v>
      </x:c>
      <x:c r="G278" s="26" t="str"/>
      <x:c r="H278" s="28"/>
      <x:c r="I278" s="30"/>
      <x:c r="J278" s="26" t="str"/>
      <x:c r="K278" s="26" t="str">
        <x:v>High</x:v>
      </x:c>
      <x:c r="L278" s="26" t="str">
        <x:v>Current Aabdeh town listing</x:v>
      </x:c>
      <x:c r="M278" s="26" t="str">
        <x:v>https://wenrayhin.com/en/towns/aabdeh</x:v>
      </x:c>
      <x:c r="N278" s="26" t="str">
        <x:v>https://www.google.com/maps/search/?api=1&amp;query=Mataam+Layali+Al+Ward%2C+Aabdeh%2C+Lebanon</x:v>
      </x:c>
      <x:c r="O278" s="26" t="str"/>
      <x:c r="P278" s="26" t="str">
        <x:v>2026-09-08</x:v>
      </x:c>
    </x:row>
    <x:row r="279">
      <x:c r="A279" s="26" t="n">
        <x:v>278</x:v>
      </x:c>
      <x:c r="B279" s="26" t="str">
        <x:v>Akkar</x:v>
      </x:c>
      <x:c r="C279" s="26" t="str">
        <x:v>Aabdeh</x:v>
      </x:c>
      <x:c r="D279" s="26" t="str">
        <x:v>Nabiulsi Resto Caffé</x:v>
      </x:c>
      <x:c r="E279" s="26" t="str">
        <x:v>Restaurant / resto-cafe</x:v>
      </x:c>
      <x:c r="F279" s="26" t="str">
        <x:v>Listed current</x:v>
      </x:c>
      <x:c r="G279" s="26" t="str"/>
      <x:c r="H279" s="28"/>
      <x:c r="I279" s="30"/>
      <x:c r="J279" s="26" t="str"/>
      <x:c r="K279" s="26" t="str">
        <x:v>High</x:v>
      </x:c>
      <x:c r="L279" s="26" t="str">
        <x:v>Current Aabdeh town listing</x:v>
      </x:c>
      <x:c r="M279" s="26" t="str">
        <x:v>https://wenrayhin.com/en/towns/aabdeh</x:v>
      </x:c>
      <x:c r="N279" s="26" t="str">
        <x:v>https://www.google.com/maps/search/?api=1&amp;query=Nabiulsi+Resto+Caff%C3%A9%2C+Aabdeh%2C+Lebanon</x:v>
      </x:c>
      <x:c r="O279" s="26" t="str"/>
      <x:c r="P279" s="26" t="str">
        <x:v>2026-09-08</x:v>
      </x:c>
    </x:row>
    <x:row r="280">
      <x:c r="A280" s="26" t="n">
        <x:v>279</x:v>
      </x:c>
      <x:c r="B280" s="26" t="str">
        <x:v>Akkar</x:v>
      </x:c>
      <x:c r="C280" s="26" t="str">
        <x:v>Aabdeh</x:v>
      </x:c>
      <x:c r="D280" s="26" t="str">
        <x:v>Aladdin Restaurant</x:v>
      </x:c>
      <x:c r="E280" s="26" t="str">
        <x:v>Street food</x:v>
      </x:c>
      <x:c r="F280" s="26" t="str">
        <x:v>Listed current</x:v>
      </x:c>
      <x:c r="G280" s="26" t="str"/>
      <x:c r="H280" s="28"/>
      <x:c r="I280" s="30"/>
      <x:c r="J280" s="26" t="str"/>
      <x:c r="K280" s="26" t="str">
        <x:v>High</x:v>
      </x:c>
      <x:c r="L280" s="26" t="str">
        <x:v>Current Aabdeh town listing</x:v>
      </x:c>
      <x:c r="M280" s="26" t="str">
        <x:v>https://wenrayhin.com/en/towns/aabdeh</x:v>
      </x:c>
      <x:c r="N280" s="26" t="str">
        <x:v>https://www.google.com/maps/search/?api=1&amp;query=Aladdin+Restaurant%2C+Aabdeh%2C+Lebanon</x:v>
      </x:c>
      <x:c r="O280" s="26" t="str"/>
      <x:c r="P280" s="26" t="str">
        <x:v>2026-09-08</x:v>
      </x:c>
    </x:row>
    <x:row r="281">
      <x:c r="A281" s="26" t="n">
        <x:v>280</x:v>
      </x:c>
      <x:c r="B281" s="26" t="str">
        <x:v>Akkar</x:v>
      </x:c>
      <x:c r="C281" s="26" t="str">
        <x:v>Aabdeh</x:v>
      </x:c>
      <x:c r="D281" s="26" t="str">
        <x:v>Al Mona Restaurant</x:v>
      </x:c>
      <x:c r="E281" s="26" t="str">
        <x:v>Restaurant</x:v>
      </x:c>
      <x:c r="F281" s="26" t="str">
        <x:v>Listed current</x:v>
      </x:c>
      <x:c r="G281" s="26" t="str"/>
      <x:c r="H281" s="28"/>
      <x:c r="I281" s="30"/>
      <x:c r="J281" s="26" t="str"/>
      <x:c r="K281" s="26" t="str">
        <x:v>High</x:v>
      </x:c>
      <x:c r="L281" s="26" t="str">
        <x:v>Current Aabdeh town listing</x:v>
      </x:c>
      <x:c r="M281" s="26" t="str">
        <x:v>https://wenrayhin.com/en/towns/aabdeh</x:v>
      </x:c>
      <x:c r="N281" s="26" t="str">
        <x:v>https://www.google.com/maps/search/?api=1&amp;query=Al+Mona+Restaurant%2C+Aabdeh%2C+Lebanon</x:v>
      </x:c>
      <x:c r="O281" s="26" t="str"/>
      <x:c r="P281" s="26" t="str">
        <x:v>2026-09-08</x:v>
      </x:c>
    </x:row>
    <x:row r="282">
      <x:c r="A282" s="26" t="n">
        <x:v>281</x:v>
      </x:c>
      <x:c r="B282" s="26" t="str">
        <x:v>Akkar</x:v>
      </x:c>
      <x:c r="C282" s="26" t="str">
        <x:v>Aabdeh</x:v>
      </x:c>
      <x:c r="D282" s="26" t="str">
        <x:v>Al Rifai Restaurant</x:v>
      </x:c>
      <x:c r="E282" s="26" t="str">
        <x:v>Restaurant</x:v>
      </x:c>
      <x:c r="F282" s="26" t="str">
        <x:v>Listed current</x:v>
      </x:c>
      <x:c r="G282" s="26" t="str"/>
      <x:c r="H282" s="28"/>
      <x:c r="I282" s="30"/>
      <x:c r="J282" s="26" t="str"/>
      <x:c r="K282" s="26" t="str">
        <x:v>High</x:v>
      </x:c>
      <x:c r="L282" s="26" t="str">
        <x:v>Current Aabdeh town listing</x:v>
      </x:c>
      <x:c r="M282" s="26" t="str">
        <x:v>https://wenrayhin.com/en/towns/aabdeh</x:v>
      </x:c>
      <x:c r="N282" s="26" t="str">
        <x:v>https://www.google.com/maps/search/?api=1&amp;query=Al+Rifai+Restaurant%2C+Aabdeh%2C+Lebanon</x:v>
      </x:c>
      <x:c r="O282" s="26" t="str"/>
      <x:c r="P282" s="26" t="str">
        <x:v>2026-09-08</x:v>
      </x:c>
    </x:row>
    <x:row r="283">
      <x:c r="A283" s="26" t="n">
        <x:v>282</x:v>
      </x:c>
      <x:c r="B283" s="26" t="str">
        <x:v>Akkar</x:v>
      </x:c>
      <x:c r="C283" s="26" t="str">
        <x:v>Aabdeh</x:v>
      </x:c>
      <x:c r="D283" s="26" t="str">
        <x:v>Citadelle</x:v>
      </x:c>
      <x:c r="E283" s="26" t="str">
        <x:v>Restaurant</x:v>
      </x:c>
      <x:c r="F283" s="26" t="str">
        <x:v>Listed current</x:v>
      </x:c>
      <x:c r="G283" s="26" t="str"/>
      <x:c r="H283" s="28"/>
      <x:c r="I283" s="30"/>
      <x:c r="J283" s="26" t="str"/>
      <x:c r="K283" s="26" t="str">
        <x:v>High</x:v>
      </x:c>
      <x:c r="L283" s="26" t="str">
        <x:v>Current Aabdeh town listing</x:v>
      </x:c>
      <x:c r="M283" s="26" t="str">
        <x:v>https://wenrayhin.com/en/towns/aabdeh</x:v>
      </x:c>
      <x:c r="N283" s="26" t="str">
        <x:v>https://www.google.com/maps/search/?api=1&amp;query=Citadelle%2C+Aabdeh%2C+Lebanon</x:v>
      </x:c>
      <x:c r="O283" s="26" t="str"/>
      <x:c r="P283" s="26" t="str">
        <x:v>2026-09-08</x:v>
      </x:c>
    </x:row>
    <x:row r="284">
      <x:c r="A284" s="26" t="n">
        <x:v>283</x:v>
      </x:c>
      <x:c r="B284" s="26" t="str">
        <x:v>Akkar</x:v>
      </x:c>
      <x:c r="C284" s="26" t="str">
        <x:v>Aabdeh</x:v>
      </x:c>
      <x:c r="D284" s="26" t="str">
        <x:v>Halaweyat Al Montazah</x:v>
      </x:c>
      <x:c r="E284" s="26" t="str">
        <x:v>Restaurant</x:v>
      </x:c>
      <x:c r="F284" s="26" t="str">
        <x:v>Listed current</x:v>
      </x:c>
      <x:c r="G284" s="26" t="str"/>
      <x:c r="H284" s="28"/>
      <x:c r="I284" s="30"/>
      <x:c r="J284" s="26" t="str"/>
      <x:c r="K284" s="26" t="str">
        <x:v>High</x:v>
      </x:c>
      <x:c r="L284" s="26" t="str">
        <x:v>Current Aabdeh town listing</x:v>
      </x:c>
      <x:c r="M284" s="26" t="str">
        <x:v>https://wenrayhin.com/en/towns/aabdeh</x:v>
      </x:c>
      <x:c r="N284" s="26" t="str">
        <x:v>https://www.google.com/maps/search/?api=1&amp;query=Halaweyat+Al+Montazah%2C+Aabdeh%2C+Lebanon</x:v>
      </x:c>
      <x:c r="O284" s="26" t="str"/>
      <x:c r="P284" s="26" t="str">
        <x:v>2026-09-08</x:v>
      </x:c>
    </x:row>
    <x:row r="285">
      <x:c r="A285" s="26" t="n">
        <x:v>284</x:v>
      </x:c>
      <x:c r="B285" s="26" t="str">
        <x:v>Akkar</x:v>
      </x:c>
      <x:c r="C285" s="26" t="str">
        <x:v>Aabdeh</x:v>
      </x:c>
      <x:c r="D285" s="26" t="str">
        <x:v>Halaweyat Zad El Kheir</x:v>
      </x:c>
      <x:c r="E285" s="26" t="str">
        <x:v>Restaurant</x:v>
      </x:c>
      <x:c r="F285" s="26" t="str">
        <x:v>Listed current</x:v>
      </x:c>
      <x:c r="G285" s="26" t="str"/>
      <x:c r="H285" s="28"/>
      <x:c r="I285" s="30"/>
      <x:c r="J285" s="26" t="str"/>
      <x:c r="K285" s="26" t="str">
        <x:v>High</x:v>
      </x:c>
      <x:c r="L285" s="26" t="str">
        <x:v>Current Aabdeh town listing</x:v>
      </x:c>
      <x:c r="M285" s="26" t="str">
        <x:v>https://wenrayhin.com/en/towns/aabdeh</x:v>
      </x:c>
      <x:c r="N285" s="26" t="str">
        <x:v>https://www.google.com/maps/search/?api=1&amp;query=Halaweyat+Zad+El+Kheir%2C+Aabdeh%2C+Lebanon</x:v>
      </x:c>
      <x:c r="O285" s="26" t="str"/>
      <x:c r="P285" s="26" t="str">
        <x:v>2026-09-08</x:v>
      </x:c>
    </x:row>
    <x:row r="286">
      <x:c r="A286" s="26" t="n">
        <x:v>285</x:v>
      </x:c>
      <x:c r="B286" s="26" t="str">
        <x:v>Akkar</x:v>
      </x:c>
      <x:c r="C286" s="26" t="str">
        <x:v>Aabdeh</x:v>
      </x:c>
      <x:c r="D286" s="26" t="str">
        <x:v>Kaaket w Saj Abu Lin</x:v>
      </x:c>
      <x:c r="E286" s="26" t="str">
        <x:v>Restaurant</x:v>
      </x:c>
      <x:c r="F286" s="26" t="str">
        <x:v>Listed current</x:v>
      </x:c>
      <x:c r="G286" s="26" t="str"/>
      <x:c r="H286" s="28"/>
      <x:c r="I286" s="30"/>
      <x:c r="J286" s="26" t="str"/>
      <x:c r="K286" s="26" t="str">
        <x:v>High</x:v>
      </x:c>
      <x:c r="L286" s="26" t="str">
        <x:v>Current Aabdeh town listing</x:v>
      </x:c>
      <x:c r="M286" s="26" t="str">
        <x:v>https://wenrayhin.com/en/towns/aabdeh</x:v>
      </x:c>
      <x:c r="N286" s="26" t="str">
        <x:v>https://www.google.com/maps/search/?api=1&amp;query=Kaaket+w+Saj+Abu+Lin%2C+Aabdeh%2C+Lebanon</x:v>
      </x:c>
      <x:c r="O286" s="26" t="str"/>
      <x:c r="P286" s="26" t="str">
        <x:v>2026-09-08</x:v>
      </x:c>
    </x:row>
    <x:row r="287">
      <x:c r="A287" s="26" t="n">
        <x:v>286</x:v>
      </x:c>
      <x:c r="B287" s="26" t="str">
        <x:v>Akkar</x:v>
      </x:c>
      <x:c r="C287" s="26" t="str">
        <x:v>Aabdeh</x:v>
      </x:c>
      <x:c r="D287" s="26" t="str">
        <x:v>Malhameh Khaled Al Aji</x:v>
      </x:c>
      <x:c r="E287" s="26" t="str">
        <x:v>Butcher / restaurant</x:v>
      </x:c>
      <x:c r="F287" s="26" t="str">
        <x:v>Listed current</x:v>
      </x:c>
      <x:c r="G287" s="26" t="str"/>
      <x:c r="H287" s="28"/>
      <x:c r="I287" s="30"/>
      <x:c r="J287" s="26" t="str"/>
      <x:c r="K287" s="26" t="str">
        <x:v>High</x:v>
      </x:c>
      <x:c r="L287" s="26" t="str">
        <x:v>Current Aabdeh town listing</x:v>
      </x:c>
      <x:c r="M287" s="26" t="str">
        <x:v>https://wenrayhin.com/en/towns/aabdeh</x:v>
      </x:c>
      <x:c r="N287" s="26" t="str">
        <x:v>https://www.google.com/maps/search/?api=1&amp;query=Malhameh+Khaled+Al+Aji%2C+Aabdeh%2C+Lebanon</x:v>
      </x:c>
      <x:c r="O287" s="26" t="str"/>
      <x:c r="P287" s="26" t="str">
        <x:v>2026-09-08</x:v>
      </x:c>
    </x:row>
    <x:row r="288">
      <x:c r="A288" s="26" t="n">
        <x:v>287</x:v>
      </x:c>
      <x:c r="B288" s="26" t="str">
        <x:v>Akkar</x:v>
      </x:c>
      <x:c r="C288" s="26" t="str">
        <x:v>Aabdeh</x:v>
      </x:c>
      <x:c r="D288" s="26" t="str">
        <x:v>Mataam Al Diwan Aakkar</x:v>
      </x:c>
      <x:c r="E288" s="26" t="str">
        <x:v>Restaurant</x:v>
      </x:c>
      <x:c r="F288" s="26" t="str">
        <x:v>Listed current</x:v>
      </x:c>
      <x:c r="G288" s="26" t="str"/>
      <x:c r="H288" s="28"/>
      <x:c r="I288" s="30"/>
      <x:c r="J288" s="26" t="str"/>
      <x:c r="K288" s="26" t="str">
        <x:v>High</x:v>
      </x:c>
      <x:c r="L288" s="26" t="str">
        <x:v>Current Aabdeh town listing</x:v>
      </x:c>
      <x:c r="M288" s="26" t="str">
        <x:v>https://wenrayhin.com/en/towns/aabdeh</x:v>
      </x:c>
      <x:c r="N288" s="26" t="str">
        <x:v>https://www.google.com/maps/search/?api=1&amp;query=Mataam+Al+Diwan+Aakkar%2C+Aabdeh%2C+Lebanon</x:v>
      </x:c>
      <x:c r="O288" s="26" t="str"/>
      <x:c r="P288" s="26" t="str">
        <x:v>2026-09-08</x:v>
      </x:c>
    </x:row>
    <x:row r="289">
      <x:c r="A289" s="26" t="n">
        <x:v>288</x:v>
      </x:c>
      <x:c r="B289" s="26" t="str">
        <x:v>Akkar</x:v>
      </x:c>
      <x:c r="C289" s="26" t="str">
        <x:v>Aabdeh</x:v>
      </x:c>
      <x:c r="D289" s="26" t="str">
        <x:v>Mataam w Snack El Mokhtar</x:v>
      </x:c>
      <x:c r="E289" s="26" t="str">
        <x:v>Restaurant</x:v>
      </x:c>
      <x:c r="F289" s="26" t="str">
        <x:v>Listed current</x:v>
      </x:c>
      <x:c r="G289" s="26" t="str"/>
      <x:c r="H289" s="28"/>
      <x:c r="I289" s="30"/>
      <x:c r="J289" s="26" t="str"/>
      <x:c r="K289" s="26" t="str">
        <x:v>High</x:v>
      </x:c>
      <x:c r="L289" s="26" t="str">
        <x:v>Current Aabdeh town listing</x:v>
      </x:c>
      <x:c r="M289" s="26" t="str">
        <x:v>https://wenrayhin.com/en/towns/aabdeh</x:v>
      </x:c>
      <x:c r="N289" s="26" t="str">
        <x:v>https://www.google.com/maps/search/?api=1&amp;query=Mataam+w+Snack+El+Mokhtar%2C+Aabdeh%2C+Lebanon</x:v>
      </x:c>
      <x:c r="O289" s="26" t="str"/>
      <x:c r="P289" s="26" t="str">
        <x:v>2026-09-08</x:v>
      </x:c>
    </x:row>
    <x:row r="290">
      <x:c r="A290" s="26" t="n">
        <x:v>289</x:v>
      </x:c>
      <x:c r="B290" s="26" t="str">
        <x:v>Akkar</x:v>
      </x:c>
      <x:c r="C290" s="26" t="str">
        <x:v>Harar region / verify exact locality</x:v>
      </x:c>
      <x:c r="D290" s="26" t="str">
        <x:v>Wadi View Restaurant</x:v>
      </x:c>
      <x:c r="E290" s="26" t="str">
        <x:v>Lebanese / grills</x:v>
      </x:c>
      <x:c r="F290" s="26" t="str">
        <x:v>Needs verification</x:v>
      </x:c>
      <x:c r="G290" s="26" t="str"/>
      <x:c r="H290" s="28"/>
      <x:c r="I290" s="30"/>
      <x:c r="J290" s="26" t="str"/>
      <x:c r="K290" s="26" t="str">
        <x:v>Low</x:v>
      </x:c>
      <x:c r="L290" s="26" t="str">
        <x:v>2026 Northern Lebanon food feature</x:v>
      </x:c>
      <x:c r="M290" s="26" t="str">
        <x:v>https://waradana.com/english/article/264518-discover-the-best-traditional-lebanese-restaurants-in-northern-lebanon</x:v>
      </x:c>
      <x:c r="N290" s="26" t="str">
        <x:v>https://www.google.com/maps/search/?api=1&amp;query=Wadi+View+Restaurant%2C+Harar+region+%2F+verify+exact+locality%2C+Lebanon</x:v>
      </x:c>
      <x:c r="O290" s="26" t="str">
        <x:v>Article places it in Akkar/Harar region; exact map locality should be confirmed before field use.</x:v>
      </x:c>
      <x:c r="P290" s="26" t="str">
        <x:v>2026-09-08</x:v>
      </x:c>
    </x:row>
  </x:sheetData>
  <x:conditionalFormatting sqref="F2:F290">
    <x:cfRule type="expression" dxfId="0" priority="1">
      <x:formula>F2="Listed current"</x:formula>
    </x:cfRule>
    <x:cfRule type="expression" dxfId="1" priority="2">
      <x:formula>F2="Needs verification"</x:formula>
    </x:cfRule>
  </x:conditionalFormatting>
  <x:conditionalFormatting sqref="K2:K290">
    <x:cfRule type="expression" dxfId="2" priority="3">
      <x:formula>K2="High"</x:formula>
    </x:cfRule>
    <x:cfRule type="expression" dxfId="3" priority="4">
      <x:formula>K2="Low"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2da5f214dc244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18" hidden="0" customWidth="1"/>
    <x:col min="4" max="4" width="76" hidden="0" customWidth="1"/>
  </x:cols>
  <x:sheetData>
    <x:row r="1">
      <x:c r="A1" s="20" t="str">
        <x:v>Area</x:v>
      </x:c>
      <x:c r="B1" s="20" t="str">
        <x:v>Exact Locality</x:v>
      </x:c>
      <x:c r="C1" s="20" t="str">
        <x:v>Restaurant Count</x:v>
      </x:c>
      <x:c r="D1" s="20" t="str">
        <x:v>Research Note</x:v>
      </x:c>
    </x:row>
    <x:row r="2">
      <x:c r="A2" s="26" t="str">
        <x:v>Akkar</x:v>
      </x:c>
      <x:c r="B2" s="26" t="str">
        <x:v>Aabdeh</x:v>
      </x:c>
      <x:c r="C2" s="26" t="n">
        <x:v>14</x:v>
      </x:c>
      <x:c r="D2" s="26" t="str">
        <x:v>Current public-web/local-directory records; exact field verification may still find additional unindexed places.</x:v>
      </x:c>
    </x:row>
    <x:row r="3">
      <x:c r="A3" s="26" t="str">
        <x:v>Akkar</x:v>
      </x:c>
      <x:c r="B3" s="26" t="str">
        <x:v>Aandqet / Andakit</x:v>
      </x:c>
      <x:c r="C3" s="26" t="n">
        <x:v>6</x:v>
      </x:c>
      <x:c r="D3" s="26" t="str">
        <x:v>Current public-web/local-directory records; exact field verification may still find additional unindexed places.</x:v>
      </x:c>
    </x:row>
    <x:row r="4">
      <x:c r="A4" s="26" t="str">
        <x:v>Akkar</x:v>
      </x:c>
      <x:c r="B4" s="26" t="str">
        <x:v>Bebnine</x:v>
      </x:c>
      <x:c r="C4" s="26" t="n">
        <x:v>10</x:v>
      </x:c>
      <x:c r="D4" s="26" t="str">
        <x:v>Current public-web/local-directory records; exact field verification may still find additional unindexed places.</x:v>
      </x:c>
    </x:row>
    <x:row r="5">
      <x:c r="A5" s="26" t="str">
        <x:v>Akkar</x:v>
      </x:c>
      <x:c r="B5" s="26" t="str">
        <x:v>Halba</x:v>
      </x:c>
      <x:c r="C5" s="26" t="n">
        <x:v>30</x:v>
      </x:c>
      <x:c r="D5" s="26" t="str">
        <x:v>Current public-web/local-directory records; exact field verification may still find additional unindexed places.</x:v>
      </x:c>
    </x:row>
    <x:row r="6">
      <x:c r="A6" s="26" t="str">
        <x:v>Akkar</x:v>
      </x:c>
      <x:c r="B6" s="26" t="str">
        <x:v>Harar region / verify exact locality</x:v>
      </x:c>
      <x:c r="C6" s="26" t="n">
        <x:v>1</x:v>
      </x:c>
      <x:c r="D6" s="26" t="str">
        <x:v>Current public-web/local-directory records; exact field verification may still find additional unindexed places.</x:v>
      </x:c>
    </x:row>
    <x:row r="7">
      <x:c r="A7" s="26" t="str">
        <x:v>Akkar</x:v>
      </x:c>
      <x:c r="B7" s="26" t="str">
        <x:v>Miniara</x:v>
      </x:c>
      <x:c r="C7" s="26" t="n">
        <x:v>9</x:v>
      </x:c>
      <x:c r="D7" s="26" t="str">
        <x:v>Current public-web/local-directory records; exact field verification may still find additional unindexed places.</x:v>
      </x:c>
    </x:row>
    <x:row r="8">
      <x:c r="A8" s="26" t="str">
        <x:v>Akkar</x:v>
      </x:c>
      <x:c r="B8" s="26" t="str">
        <x:v>Qoubaiyat</x:v>
      </x:c>
      <x:c r="C8" s="26" t="n">
        <x:v>27</x:v>
      </x:c>
      <x:c r="D8" s="26" t="str">
        <x:v>Current public-web/local-directory records; exact field verification may still find additional unindexed places.</x:v>
      </x:c>
    </x:row>
    <x:row r="9">
      <x:c r="A9" s="26" t="str">
        <x:v>Batroun</x:v>
      </x:c>
      <x:c r="B9" s="26" t="str">
        <x:v>Arnaoon</x:v>
      </x:c>
      <x:c r="C9" s="26" t="n">
        <x:v>1</x:v>
      </x:c>
      <x:c r="D9" s="26" t="str">
        <x:v>Current public-web/local-directory records; exact field verification may still find additional unindexed places.</x:v>
      </x:c>
    </x:row>
    <x:row r="10">
      <x:c r="A10" s="26" t="str">
        <x:v>Batroun</x:v>
      </x:c>
      <x:c r="B10" s="26" t="str">
        <x:v>Basbina / Batroun district</x:v>
      </x:c>
      <x:c r="C10" s="26" t="n">
        <x:v>1</x:v>
      </x:c>
      <x:c r="D10" s="26" t="str">
        <x:v>Current public-web/local-directory records; exact field verification may still find additional unindexed places.</x:v>
      </x:c>
    </x:row>
    <x:row r="11">
      <x:c r="A11" s="26" t="str">
        <x:v>Batroun</x:v>
      </x:c>
      <x:c r="B11" s="26" t="str">
        <x:v>Batroun city</x:v>
      </x:c>
      <x:c r="C11" s="26" t="n">
        <x:v>31</x:v>
      </x:c>
      <x:c r="D11" s="26" t="str">
        <x:v>Current public-web/local-directory records; exact field verification may still find additional unindexed places.</x:v>
      </x:c>
    </x:row>
    <x:row r="12">
      <x:c r="A12" s="26" t="str">
        <x:v>Batroun</x:v>
      </x:c>
      <x:c r="B12" s="26" t="str">
        <x:v>Batroun coast</x:v>
      </x:c>
      <x:c r="C12" s="26" t="n">
        <x:v>1</x:v>
      </x:c>
      <x:c r="D12" s="26" t="str">
        <x:v>Current public-web/local-directory records; exact field verification may still find additional unindexed places.</x:v>
      </x:c>
    </x:row>
    <x:row r="13">
      <x:c r="A13" s="26" t="str">
        <x:v>Batroun</x:v>
      </x:c>
      <x:c r="B13" s="26" t="str">
        <x:v>Orchid / Batroun coast</x:v>
      </x:c>
      <x:c r="C13" s="26" t="n">
        <x:v>1</x:v>
      </x:c>
      <x:c r="D13" s="26" t="str">
        <x:v>Current public-web/local-directory records; exact field verification may still find additional unindexed places.</x:v>
      </x:c>
    </x:row>
    <x:row r="14">
      <x:c r="A14" s="26" t="str">
        <x:v>Bsharri</x:v>
      </x:c>
      <x:c r="B14" s="26" t="str">
        <x:v>Bsharri / Cedars / Qadisha area</x:v>
      </x:c>
      <x:c r="C14" s="26" t="n">
        <x:v>42</x:v>
      </x:c>
      <x:c r="D14" s="26" t="str">
        <x:v>Current public-web/local-directory records; exact field verification may still find additional unindexed places.</x:v>
      </x:c>
    </x:row>
    <x:row r="15">
      <x:c r="A15" s="26" t="str">
        <x:v>Bsharri</x:v>
      </x:c>
      <x:c r="B15" s="26" t="str">
        <x:v>Bsharri Square</x:v>
      </x:c>
      <x:c r="C15" s="26" t="n">
        <x:v>5</x:v>
      </x:c>
      <x:c r="D15" s="26" t="str">
        <x:v>Current public-web/local-directory records; exact field verification may still find additional unindexed places.</x:v>
      </x:c>
    </x:row>
    <x:row r="16">
      <x:c r="A16" s="26" t="str">
        <x:v>Ehden</x:v>
      </x:c>
      <x:c r="B16" s="26" t="str">
        <x:v>Ehden</x:v>
      </x:c>
      <x:c r="C16" s="26" t="n">
        <x:v>19</x:v>
      </x:c>
      <x:c r="D16" s="26" t="str">
        <x:v>Current public-web/local-directory records; exact field verification may still find additional unindexed places.</x:v>
      </x:c>
    </x:row>
    <x:row r="17">
      <x:c r="A17" s="26" t="str">
        <x:v>Tripoli</x:v>
      </x:c>
      <x:c r="B17" s="26" t="str">
        <x:v>Bahsas</x:v>
      </x:c>
      <x:c r="C17" s="26" t="n">
        <x:v>22</x:v>
      </x:c>
      <x:c r="D17" s="26" t="str">
        <x:v>Current public-web/local-directory records; exact field verification may still find additional unindexed places.</x:v>
      </x:c>
    </x:row>
    <x:row r="18">
      <x:c r="A18" s="26" t="str">
        <x:v>Tripoli</x:v>
      </x:c>
      <x:c r="B18" s="26" t="str">
        <x:v>El Mina</x:v>
      </x:c>
      <x:c r="C18" s="26" t="n">
        <x:v>33</x:v>
      </x:c>
      <x:c r="D18" s="26" t="str">
        <x:v>Current public-web/local-directory records; exact field verification may still find additional unindexed places.</x:v>
      </x:c>
    </x:row>
    <x:row r="19">
      <x:c r="A19" s="26" t="str">
        <x:v>Tripoli</x:v>
      </x:c>
      <x:c r="B19" s="26" t="str">
        <x:v>Tripoli city</x:v>
      </x:c>
      <x:c r="C19" s="26" t="n">
        <x:v>36</x:v>
      </x:c>
      <x:c r="D19" s="26" t="str">
        <x:v>Current public-web/local-directory records; exact field verification may still find additional unindexed places.</x:v>
      </x:c>
    </x:row>
  </x:sheetData>
  <x:pageMargins left="0.7" right="0.7" top="0.75" bottom="0.75" header="0.3" footer="0.3"/>
  <x:tableParts count="1">
    <x:tablePart xmlns:r="http://schemas.openxmlformats.org/officeDocument/2006/relationships" r:id="Rec97deb52c224cd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60" hidden="0" customWidth="1"/>
    <x:col min="3" max="3" width="24" hidden="0" customWidth="1"/>
    <x:col min="4" max="4" width="66" hidden="0" customWidth="1"/>
  </x:cols>
  <x:sheetData>
    <x:row r="1">
      <x:c r="A1" s="20" t="str">
        <x:v>Source</x:v>
      </x:c>
      <x:c r="B1" s="20" t="str">
        <x:v>URL</x:v>
      </x:c>
      <x:c r="C1" s="20" t="str">
        <x:v>Coverage</x:v>
      </x:c>
      <x:c r="D1" s="20" t="str">
        <x:v>Use</x:v>
      </x:c>
    </x:row>
    <x:row r="2">
      <x:c r="A2" s="26" t="str">
        <x:v>WenRayhin Batroun</x:v>
      </x:c>
      <x:c r="B2" s="26" t="str">
        <x:v>https://wenrayhin.com/en/towns/batroun</x:v>
      </x:c>
      <x:c r="C2" s="26" t="str">
        <x:v>Batroun</x:v>
      </x:c>
      <x:c r="D2" s="26" t="str">
        <x:v>Current exact-town restaurant discovery; data from OSM/Google Places, source/check status shown.</x:v>
      </x:c>
    </x:row>
    <x:row r="3">
      <x:c r="A3" s="26" t="str">
        <x:v>Tripadvisor Batroun 2026</x:v>
      </x:c>
      <x:c r="B3" s="26" t="str">
        <x:v>https://www.tripadvisor.com/Restaurants-g1943861-Batroun_North_Governorate.html</x:v>
      </x:c>
      <x:c r="C3" s="26" t="str">
        <x:v>Batroun</x:v>
      </x:c>
      <x:c r="D3" s="26" t="str">
        <x:v>Additional current restaurant discovery, cuisine and review counts.</x:v>
      </x:c>
    </x:row>
    <x:row r="4">
      <x:c r="A4" s="26" t="str">
        <x:v>WenRayhin Tripoli</x:v>
      </x:c>
      <x:c r="B4" s="26" t="str">
        <x:v>https://wenrayhin.com/en/towns/tripoli/food_drink</x:v>
      </x:c>
      <x:c r="C4" s="26" t="str">
        <x:v>Tripoli city</x:v>
      </x:c>
      <x:c r="D4" s="26" t="str">
        <x:v>Current Tripoli food listings.</x:v>
      </x:c>
    </x:row>
    <x:row r="5">
      <x:c r="A5" s="26" t="str">
        <x:v>WenRayhin El Mina</x:v>
      </x:c>
      <x:c r="B5" s="26" t="str">
        <x:v>https://wenrayhin.com/en/towns/mina/food_drink</x:v>
      </x:c>
      <x:c r="C5" s="26" t="str">
        <x:v>El Mina / Tripoli</x:v>
      </x:c>
      <x:c r="D5" s="26" t="str">
        <x:v>Exact El Mina restaurant listings.</x:v>
      </x:c>
    </x:row>
    <x:row r="6">
      <x:c r="A6" s="26" t="str">
        <x:v>WenRayhin Bahsas</x:v>
      </x:c>
      <x:c r="B6" s="26" t="str">
        <x:v>https://wenrayhin.com/en/towns/bahsas/food_drink</x:v>
      </x:c>
      <x:c r="C6" s="26" t="str">
        <x:v>Bahsas / Tripoli</x:v>
      </x:c>
      <x:c r="D6" s="26" t="str">
        <x:v>Exact Bahsas restaurant listings.</x:v>
      </x:c>
    </x:row>
    <x:row r="7">
      <x:c r="A7" s="26" t="str">
        <x:v>Tripadvisor Tripoli 2026</x:v>
      </x:c>
      <x:c r="B7" s="26" t="str">
        <x:v>https://www.tripadvisor.com/Restaurants-g295422-Tripoli_North_Governorate.html</x:v>
      </x:c>
      <x:c r="C7" s="26" t="str">
        <x:v>Tripoli</x:v>
      </x:c>
      <x:c r="D7" s="26" t="str">
        <x:v>Review/rating cross-check and additional restaurants.</x:v>
      </x:c>
    </x:row>
    <x:row r="8">
      <x:c r="A8" s="26" t="str">
        <x:v>WenRayhin Ehden</x:v>
      </x:c>
      <x:c r="B8" s="26" t="str">
        <x:v>https://wenrayhin.com/en/towns/ehden</x:v>
      </x:c>
      <x:c r="C8" s="26" t="str">
        <x:v>Ehden</x:v>
      </x:c>
      <x:c r="D8" s="26" t="str">
        <x:v>Current Ehden exact-town restaurant listings.</x:v>
      </x:c>
    </x:row>
    <x:row r="9">
      <x:c r="A9" s="26" t="str">
        <x:v>Visit Ehden</x:v>
      </x:c>
      <x:c r="B9" s="26" t="str">
        <x:v>https://visitehden.com/</x:v>
      </x:c>
      <x:c r="C9" s="26" t="str">
        <x:v>Ehden</x:v>
      </x:c>
      <x:c r="D9" s="26" t="str">
        <x:v>Official destination directory and restaurant discovery.</x:v>
      </x:c>
    </x:row>
    <x:row r="10">
      <x:c r="A10" s="26" t="str">
        <x:v>Tripadvisor Ehden 2026</x:v>
      </x:c>
      <x:c r="B10" s="26" t="str">
        <x:v>https://www.tripadvisor.com/Restaurants-g1858121-Ehden_North_Governorate.html</x:v>
      </x:c>
      <x:c r="C10" s="26" t="str">
        <x:v>Ehden</x:v>
      </x:c>
      <x:c r="D10" s="26" t="str">
        <x:v>Current restaurant/review cross-check.</x:v>
      </x:c>
    </x:row>
    <x:row r="11">
      <x:c r="A11" s="26" t="str">
        <x:v>Bsharri Municipality Restaurants</x:v>
      </x:c>
      <x:c r="B11" s="26" t="str">
        <x:v>https://website.bcharri.net/places/lebanon/north-lebanon/bcharri/restaurants/?lang=en</x:v>
      </x:c>
      <x:c r="C11" s="26" t="str">
        <x:v>Bsharri</x:v>
      </x:c>
      <x:c r="D11" s="26" t="str">
        <x:v>Primary municipal restaurant directory.</x:v>
      </x:c>
    </x:row>
    <x:row r="12">
      <x:c r="A12" s="26" t="str">
        <x:v>Bsharri Municipality Restaurants p2</x:v>
      </x:c>
      <x:c r="B12" s="26" t="str">
        <x:v>https://website.bcharri.net/places/lebanon/north-lebanon/bcharri/restaurants/page/2/?lang=en</x:v>
      </x:c>
      <x:c r="C12" s="26" t="str">
        <x:v>Bsharri</x:v>
      </x:c>
      <x:c r="D12" s="26" t="str">
        <x:v>Second page of municipal restaurant directory.</x:v>
      </x:c>
    </x:row>
    <x:row r="13">
      <x:c r="A13" s="26" t="str">
        <x:v>WenRayhin Bsharri</x:v>
      </x:c>
      <x:c r="B13" s="26" t="str">
        <x:v>https://wenrayhin.com/en/towns/bsharri/food_drink</x:v>
      </x:c>
      <x:c r="C13" s="26" t="str">
        <x:v>Bsharri</x:v>
      </x:c>
      <x:c r="D13" s="26" t="str">
        <x:v>Current town listings and wider restaurant discovery.</x:v>
      </x:c>
    </x:row>
    <x:row r="14">
      <x:c r="A14" s="26" t="str">
        <x:v>Bsharri Square</x:v>
      </x:c>
      <x:c r="B14" s="26" t="str">
        <x:v>https://bsharrisquare.com/</x:v>
      </x:c>
      <x:c r="C14" s="26" t="str">
        <x:v>Bsharri</x:v>
      </x:c>
      <x:c r="D14" s="26" t="str">
        <x:v>Current food-court tenant listing.</x:v>
      </x:c>
    </x:row>
    <x:row r="15">
      <x:c r="A15" s="26" t="str">
        <x:v>WenRayhin Halba</x:v>
      </x:c>
      <x:c r="B15" s="26" t="str">
        <x:v>https://wenrayhin.com/en/towns/halba/food_drink</x:v>
      </x:c>
      <x:c r="C15" s="26" t="str">
        <x:v>Akkar — Halba</x:v>
      </x:c>
      <x:c r="D15" s="26" t="str">
        <x:v>Current Halba restaurant discovery.</x:v>
      </x:c>
    </x:row>
    <x:row r="16">
      <x:c r="A16" s="26" t="str">
        <x:v>WenRayhin Qoubaiyat</x:v>
      </x:c>
      <x:c r="B16" s="26" t="str">
        <x:v>https://wenrayhin.com/en/towns/al-qoubaiyat/food_drink</x:v>
      </x:c>
      <x:c r="C16" s="26" t="str">
        <x:v>Akkar — Qoubaiyat</x:v>
      </x:c>
      <x:c r="D16" s="26" t="str">
        <x:v>Current Qoubaiyat restaurant discovery.</x:v>
      </x:c>
    </x:row>
    <x:row r="17">
      <x:c r="A17" s="26" t="str">
        <x:v>WenRayhin Miniara</x:v>
      </x:c>
      <x:c r="B17" s="26" t="str">
        <x:v>https://wenrayhin.com/en/towns/miniara</x:v>
      </x:c>
      <x:c r="C17" s="26" t="str">
        <x:v>Akkar — Miniara</x:v>
      </x:c>
      <x:c r="D17" s="26" t="str">
        <x:v>Current Miniara restaurant discovery.</x:v>
      </x:c>
    </x:row>
    <x:row r="18">
      <x:c r="A18" s="26" t="str">
        <x:v>WenRayhin Andakit</x:v>
      </x:c>
      <x:c r="B18" s="26" t="str">
        <x:v>https://wenrayhin.com/en/towns/andakit</x:v>
      </x:c>
      <x:c r="C18" s="26" t="str">
        <x:v>Akkar — Aandqet</x:v>
      </x:c>
      <x:c r="D18" s="26" t="str">
        <x:v>Current Aandqet/Andakit restaurant discovery.</x:v>
      </x:c>
    </x:row>
    <x:row r="19">
      <x:c r="A19" s="26" t="str">
        <x:v>WenRayhin Bebnine</x:v>
      </x:c>
      <x:c r="B19" s="26" t="str">
        <x:v>https://wenrayhin.com/en/towns/bebnine</x:v>
      </x:c>
      <x:c r="C19" s="26" t="str">
        <x:v>Akkar — Bebnine</x:v>
      </x:c>
      <x:c r="D19" s="26" t="str">
        <x:v>Current Bebnine restaurant discovery.</x:v>
      </x:c>
    </x:row>
    <x:row r="20">
      <x:c r="A20" s="26" t="str">
        <x:v>WenRayhin Aabdeh</x:v>
      </x:c>
      <x:c r="B20" s="26" t="str">
        <x:v>https://wenrayhin.com/en/towns/aabdeh</x:v>
      </x:c>
      <x:c r="C20" s="26" t="str">
        <x:v>Akkar — Aabdeh</x:v>
      </x:c>
      <x:c r="D20" s="26" t="str">
        <x:v>Current Aabdeh restaurant discovery.</x:v>
      </x:c>
    </x:row>
  </x:sheetData>
  <x:pageMargins left="0.7" right="0.7" top="0.75" bottom="0.75" header="0.3" footer="0.3"/>
  <x:tableParts count="1">
    <x:tablePart xmlns:r="http://schemas.openxmlformats.org/officeDocument/2006/relationships" r:id="R2c60adedafde43b1"/>
  </x:tableParts>
</x:worksheet>
</file>