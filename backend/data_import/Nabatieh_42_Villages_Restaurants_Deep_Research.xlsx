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1e8450915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88b1571e9184e32"/>
    <x:sheet xmlns:r="http://schemas.openxmlformats.org/officeDocument/2006/relationships" name="Village Summary" sheetId="2" r:id="R929eb4f4b35b4c71"/>
    <x:sheet xmlns:r="http://schemas.openxmlformats.org/officeDocument/2006/relationships" name="Restaurants" sheetId="3" r:id="R9673650143c64213"/>
    <x:sheet xmlns:r="http://schemas.openxmlformats.org/officeDocument/2006/relationships" name="Input Mapping" sheetId="4" r:id="Refe3ef654d6b4a45"/>
    <x:sheet xmlns:r="http://schemas.openxmlformats.org/officeDocument/2006/relationships" name="Research Gaps" sheetId="5" r:id="R8926485a217442c7"/>
    <x:sheet xmlns:r="http://schemas.openxmlformats.org/officeDocument/2006/relationships" name="Method &amp; Sources" sheetId="6" r:id="R3f2cb5a0d352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B2A2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20"/>
      </x:patternFill>
    </x:fill>
    <x:fill>
      <x:patternFill patternType="solid">
        <x:fgColor rgb="FFE8DED5"/>
      </x:patternFill>
    </x:fill>
    <x:fill>
      <x:patternFill patternType="solid">
        <x:fgColor rgb="FF6D4C41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df838f9ab488f" /><Relationship Type="http://schemas.openxmlformats.org/officeDocument/2006/relationships/theme" Target="/xl/theme/theme1.xml" Id="Rcaf7bee36def4dd9" /><Relationship Type="http://schemas.openxmlformats.org/officeDocument/2006/relationships/sharedStrings" Target="/xl/sharedStrings.xml" Id="R251fa186171f4eef" /><Relationship Type="http://schemas.openxmlformats.org/officeDocument/2006/relationships/worksheet" Target="/xl/worksheets/sheet1.xml" Id="R988b1571e9184e32" /><Relationship Type="http://schemas.openxmlformats.org/officeDocument/2006/relationships/worksheet" Target="/xl/worksheets/sheet2.xml" Id="R929eb4f4b35b4c71" /><Relationship Type="http://schemas.openxmlformats.org/officeDocument/2006/relationships/worksheet" Target="/xl/worksheets/sheet3.xml" Id="R9673650143c64213" /><Relationship Type="http://schemas.openxmlformats.org/officeDocument/2006/relationships/worksheet" Target="/xl/worksheets/sheet4.xml" Id="Refe3ef654d6b4a45" /><Relationship Type="http://schemas.openxmlformats.org/officeDocument/2006/relationships/worksheet" Target="/xl/worksheets/sheet5.xml" Id="R8926485a217442c7" /><Relationship Type="http://schemas.openxmlformats.org/officeDocument/2006/relationships/worksheet" Target="/xl/worksheets/sheet6.xml" Id="R3f2cb5a0d3524d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d4d7bcfd6b43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Restaurant research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'Overview'!$G$5:$G$9</c:f>
              <c:strCache>
                <c:ptCount val="0"/>
              </c:strCache>
            </c:strRef>
          </c:cat>
          <c:val>
            <c:numRef>
              <c:f>'Overview'!$H$5:$H$9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d4d7bcfd6b43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VillageSummaryTable" displayName="VillageSummaryTable" ref="A1:I41" headerRowCount="1" totalsRowCount="0" totalsRowShown="0">
  <x:tableColumns count="9">
    <x:tableColumn id="1" name="Canonical Locality"/>
    <x:tableColumn id="2" name="Official / Common Name"/>
    <x:tableColumn id="3" name="Active Verified"/>
    <x:tableColumn id="4" name="Listed Current"/>
    <x:tableColumn id="5" name="Needs Verification"/>
    <x:tableColumn id="6" name="Closed / Conflict / Historical"/>
    <x:tableColumn id="7" name="Total Surfaced"/>
    <x:tableColumn id="8" name="Research 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staurantsTable" displayName="RestaurantsTable" ref="A1:Q151" headerRowCount="1" totalsRowCount="0" totalsRowShown="0">
  <x:tableColumns count="17">
    <x:tableColumn id="1" name="ID"/>
    <x:tableColumn id="2" name="Canonical Locality"/>
    <x:tableColumn id="3" name="Business Name"/>
    <x:tableColumn id="4" name="Venue Type"/>
    <x:tableColumn id="5" name="Status"/>
    <x:tableColumn id="6" name="Address / Area"/>
    <x:tableColumn id="7" name="Phone"/>
    <x:tableColumn id="8" name="Rating"/>
    <x:tableColumn id="9" name="Reviews"/>
    <x:tableColumn id="10" name="Hours"/>
    <x:tableColumn id="11" name="Confidence"/>
    <x:tableColumn id="12" name="Locality Match"/>
    <x:tableColumn id="13" name="Evidence Source"/>
    <x:tableColumn id="14" name="Source URL"/>
    <x:tableColumn id="15" name="Map / Search Link"/>
    <x:tableColumn id="16" name="Notes"/>
    <x:tableColumn id="17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MappingTable" displayName="InputMappingTable" ref="A1:D43" headerRowCount="1" totalsRowCount="0" totalsRowShown="0">
  <x:tableColumns count="4">
    <x:tableColumn id="1" name="Original #"/>
    <x:tableColumn id="2" name="Original User Entry"/>
    <x:tableColumn id="3" name="Canonical Research Unit"/>
    <x:tableColumn id="4" name="Normaliz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GapsTable" displayName="ResearchGapsTable" ref="A1:D18" headerRowCount="1" totalsRowCount="0" totalsRowShown="0">
  <x:tableColumns count="4">
    <x:tableColumn id="1" name="Canonical Locality"/>
    <x:tableColumn id="2" name="Current Research Result"/>
    <x:tableColumn id="3" name="Why This Is Not 'Zero Restaurants'"/>
    <x:tableColumn id="4" name="Follow-up / Boundary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D14" headerRowCount="1" totalsRowCount="0" totalsRowShown="0">
  <x:tableColumns count="4">
    <x:tableColumn id="1" name="Source / Method"/>
    <x:tableColumn id="2" name="URL"/>
    <x:tableColumn id="3" name="How it was used"/>
    <x:tableColumn id="4" name="Reliabi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e2beffdb4e4a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d25c5903ae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0ed3ed2f084e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2b2c87e14145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a8283e256c4c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74edf36269493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4" max="4" width="28" hidden="0" customWidth="1"/>
    <x:col min="5" max="5" width="16" hidden="0" customWidth="1"/>
    <x:col min="7" max="7" width="24" hidden="0" customWidth="1"/>
    <x:col min="8" max="8" width="16" hidden="0" customWidth="1"/>
  </x:cols>
  <x:sheetData>
    <x:row r="1" ht="28" customHeight="1">
      <x:c r="A1" s="5" t="str">
        <x:v>Nabatieh District — Restaurant Deep Research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42 user entries normalized to 40 research units | Public-web verification checked 7 September 2026</x:v>
      </x:c>
      <x:c r="B2" s="12"/>
      <x:c r="C2" s="12"/>
      <x:c r="D2" s="12"/>
      <x:c r="E2" s="12"/>
      <x:c r="F2" s="12"/>
      <x:c r="G2" s="12"/>
      <x:c r="H2" s="12"/>
    </x:row>
    <x:row r="4">
      <x:c r="A4" s="30" t="str">
        <x:v>Scope</x:v>
      </x:c>
      <x:c r="B4" s="30" t="str">
        <x:v>Restaurants and restaurant-type food venues across the user's Nabatieh District locality list.</x:v>
      </x:c>
      <x:c r="C4" s="30"/>
      <x:c r="D4" s="26" t="str">
        <x:v>KPI</x:v>
      </x:c>
      <x:c r="E4" s="26" t="str">
        <x:v>Value</x:v>
      </x:c>
      <x:c r="F4" s="30"/>
      <x:c r="G4" s="26" t="str">
        <x:v>Status</x:v>
      </x:c>
      <x:c r="H4" s="26" t="str">
        <x:v>Count</x:v>
      </x:c>
    </x:row>
    <x:row r="5">
      <x:c r="A5" s="30" t="str">
        <x:v>Normalization</x:v>
      </x:c>
      <x:c r="B5" s="30" t="str">
        <x:v>Duplicate Ain Qana merged; Roumine/Rumine merged; Nabatieh Al-Tahta retained as a city sub-area.</x:v>
      </x:c>
      <x:c r="C5" s="30"/>
      <x:c r="D5" s="30" t="str">
        <x:v>Original input entries</x:v>
      </x:c>
      <x:c r="E5" s="30" t="n">
        <x:v>42</x:v>
      </x:c>
      <x:c r="F5" s="30"/>
      <x:c r="G5" s="30" t="str">
        <x:v>Active - verified</x:v>
      </x:c>
      <x:c r="H5" s="30" t="n">
        <x:f>COUNTIF('Restaurants'!E2:E151,"Active - verified")</x:f>
        <x:v>50</x:v>
      </x:c>
    </x:row>
    <x:row r="6">
      <x:c r="A6" s="30" t="str">
        <x:v>Inclusions</x:v>
      </x:c>
      <x:c r="B6" s="30" t="str">
        <x:v>Restaurants, fast-food restaurants, snacks, grills, street-food venues, and resto-cafés when restaurant activity is explicit.</x:v>
      </x:c>
      <x:c r="C6" s="30"/>
      <x:c r="D6" s="30" t="str">
        <x:v>Canonical research units</x:v>
      </x:c>
      <x:c r="E6" s="30" t="n">
        <x:f>COUNTA('Village Summary'!A2:A41)</x:f>
        <x:v>40</x:v>
      </x:c>
      <x:c r="F6" s="30"/>
      <x:c r="G6" s="30" t="str">
        <x:v>Listed current</x:v>
      </x:c>
      <x:c r="H6" s="30" t="n">
        <x:f>COUNTIF('Restaurants'!E2:E151,"Listed current")</x:f>
        <x:v>65</x:v>
      </x:c>
    </x:row>
    <x:row r="7">
      <x:c r="A7" s="30" t="str">
        <x:v>Exclusions</x:v>
      </x:c>
      <x:c r="B7" s="30" t="str">
        <x:v>Pure cafés, bakeries, sweets shops and nearby-village results unless the venue is explicitly restaurant-classified.</x:v>
      </x:c>
      <x:c r="C7" s="30"/>
      <x:c r="D7" s="30" t="str">
        <x:v>Surfaced restaurant records</x:v>
      </x:c>
      <x:c r="E7" s="30" t="n">
        <x:f>COUNTA('Restaurants'!C2:C151)</x:f>
        <x:v>150</x:v>
      </x:c>
      <x:c r="F7" s="30"/>
      <x:c r="G7" s="30" t="str">
        <x:v>Needs verification</x:v>
      </x:c>
      <x:c r="H7" s="30" t="n">
        <x:f>COUNTIF('Restaurants'!E2:E151,"Needs verification")</x:f>
        <x:v>16</x:v>
      </x:c>
    </x:row>
    <x:row r="8">
      <x:c r="A8" s="30" t="str">
        <x:v>Current-status rule</x:v>
      </x:c>
      <x:c r="B8" s="30" t="str">
        <x:v>Active/listed, temporary closures, location conflicts and historical leads are separated.</x:v>
      </x:c>
      <x:c r="C8" s="30"/>
      <x:c r="D8" s="30" t="str">
        <x:v>Active - verified</x:v>
      </x:c>
      <x:c r="E8" s="30" t="n">
        <x:f>COUNTIF('Restaurants'!E2:E151,"Active - verified")</x:f>
        <x:v>50</x:v>
      </x:c>
      <x:c r="F8" s="30"/>
      <x:c r="G8" s="30" t="str">
        <x:v>Closed / conflicts</x:v>
      </x:c>
      <x:c r="H8" s="30" t="n">
        <x:f>COUNTIF('Restaurants'!E2:E151,"Temporarily closed")+COUNTIF('Restaurants'!E2:E151,"Status conflict")+COUNTIF('Restaurants'!E2:E151,"Location conflict")</x:f>
        <x:v>7</x:v>
      </x:c>
    </x:row>
    <x:row r="9">
      <x:c r="A9" s="30" t="str">
        <x:v>Critical limitation</x:v>
      </x:c>
      <x:c r="B9" s="30" t="str">
        <x:v>No named public listing does not prove that a village has no physical restaurant.</x:v>
      </x:c>
      <x:c r="C9" s="30"/>
      <x:c r="D9" s="30" t="str">
        <x:v>Listed current</x:v>
      </x:c>
      <x:c r="E9" s="30" t="n">
        <x:f>COUNTIF('Restaurants'!E2:E151,"Listed current")</x:f>
        <x:v>65</x:v>
      </x:c>
      <x:c r="F9" s="30"/>
      <x:c r="G9" s="30" t="str">
        <x:v>Historical leads</x:v>
      </x:c>
      <x:c r="H9" s="30" t="n">
        <x:f>COUNTIF('Restaurants'!E2:E151,"Historical lead")</x:f>
        <x:v>12</x:v>
      </x:c>
    </x:row>
    <x:row r="10">
      <x:c r="A10" s="30" t="str">
        <x:v>Best-use case</x:v>
      </x:c>
      <x:c r="B10" s="30" t="str">
        <x:v>Master lead database for verification, outreach, mapping, and later field/social-media follow-up.</x:v>
      </x:c>
      <x:c r="C10" s="30"/>
      <x:c r="D10" s="30" t="str">
        <x:v>Needs verification</x:v>
      </x:c>
      <x:c r="E10" s="30" t="n">
        <x:f>COUNTIF('Restaurants'!E2:E151,"Needs verification")</x:f>
        <x:v>16</x:v>
      </x:c>
      <x:c r="F10" s="30"/>
      <x:c r="G10" s="30"/>
      <x:c r="H10" s="30"/>
    </x:row>
    <x:row r="11">
      <x:c r="A11" s="30"/>
      <x:c r="B11" s="30"/>
      <x:c r="C11" s="30"/>
      <x:c r="D11" s="30" t="str">
        <x:v>Closed / conflict / historical</x:v>
      </x:c>
      <x:c r="E11" s="30" t="n">
        <x:f>COUNTIF('Restaurants'!E2:E151,"Temporarily closed")+COUNTIF('Restaurants'!E2:E151,"Status conflict")+COUNTIF('Restaurants'!E2:E151,"Location conflict")+COUNTIF('Restaurants'!E2:E151,"Historical lead")</x:f>
        <x:v>19</x:v>
      </x:c>
      <x:c r="F11" s="30"/>
      <x:c r="G11" s="30"/>
      <x:c r="H11" s="30"/>
    </x:row>
    <x:row r="12">
      <x:c r="A12" s="30"/>
      <x:c r="B12" s="30"/>
      <x:c r="C12" s="30"/>
      <x:c r="D12" s="30" t="str">
        <x:v>Units with no named public restaurant</x:v>
      </x:c>
      <x:c r="E12" s="30" t="n">
        <x:f>COUNTIF('Village Summary'!H2:H41,"No named public restaurant verified")</x:f>
        <x:v>17</x:v>
      </x:c>
      <x:c r="F12" s="30"/>
      <x:c r="G12" s="30"/>
      <x:c r="H12" s="30"/>
    </x:row>
    <x:row r="13">
      <x:c r="A13" s="26" t="str">
        <x:v>Status legend</x:v>
      </x:c>
      <x:c r="B13" s="26" t="str">
        <x:v>Meaning</x:v>
      </x:c>
      <x:c r="C13" s="30"/>
      <x:c r="D13" s="30"/>
      <x:c r="E13" s="30"/>
      <x:c r="F13" s="30"/>
      <x:c r="G13" s="30"/>
      <x:c r="H13" s="30"/>
    </x:row>
    <x:row r="14">
      <x:c r="A14" s="30" t="str">
        <x:v>Active - verified</x:v>
      </x:c>
      <x:c r="B14" s="30" t="str">
        <x:v>Current exact-locality business evidence; strongest category.</x:v>
      </x:c>
      <x:c r="C14" s="30"/>
      <x:c r="D14" s="30"/>
      <x:c r="E14" s="30"/>
      <x:c r="F14" s="30"/>
      <x:c r="G14" s="30"/>
      <x:c r="H14" s="30"/>
    </x:row>
    <x:row r="15">
      <x:c r="A15" s="30" t="str">
        <x:v>Listed current</x:v>
      </x:c>
      <x:c r="B15" s="30" t="str">
        <x:v>Current town/business directory listing, but not independently confirmed with a second exact current source.</x:v>
      </x:c>
      <x:c r="C15" s="30"/>
      <x:c r="D15" s="30"/>
      <x:c r="E15" s="30"/>
      <x:c r="F15" s="30"/>
      <x:c r="G15" s="30"/>
      <x:c r="H15" s="30"/>
    </x:row>
    <x:row r="16">
      <x:c r="A16" s="30" t="str">
        <x:v>Needs verification</x:v>
      </x:c>
      <x:c r="B16" s="30" t="str">
        <x:v>Useful lead with some uncertainty about current status, exact boundary or categorization.</x:v>
      </x:c>
      <x:c r="C16" s="30"/>
      <x:c r="D16" s="30"/>
      <x:c r="E16" s="30"/>
      <x:c r="F16" s="30"/>
      <x:c r="G16" s="30"/>
      <x:c r="H16" s="30"/>
    </x:row>
    <x:row r="17">
      <x:c r="A17" s="30" t="str">
        <x:v>Temporarily closed</x:v>
      </x:c>
      <x:c r="B17" s="30" t="str">
        <x:v>Current public listing explicitly indicates temporary closure.</x:v>
      </x:c>
      <x:c r="C17" s="30"/>
      <x:c r="D17" s="30"/>
      <x:c r="E17" s="30"/>
      <x:c r="F17" s="30"/>
      <x:c r="G17" s="30"/>
      <x:c r="H17" s="30"/>
    </x:row>
    <x:row r="18">
      <x:c r="A18" s="30" t="str">
        <x:v>Status conflict</x:v>
      </x:c>
      <x:c r="B18" s="30" t="str">
        <x:v>Sources disagree on whether the venue is currently open.</x:v>
      </x:c>
      <x:c r="C18" s="30"/>
      <x:c r="D18" s="30"/>
      <x:c r="E18" s="30"/>
      <x:c r="F18" s="30"/>
      <x:c r="G18" s="30"/>
      <x:c r="H18" s="30"/>
    </x:row>
    <x:row r="19">
      <x:c r="A19" s="30" t="str">
        <x:v>Location conflict</x:v>
      </x:c>
      <x:c r="B19" s="30" t="str">
        <x:v>Sources disagree on the village / municipal assignment.</x:v>
      </x:c>
      <x:c r="C19" s="30"/>
      <x:c r="D19" s="30"/>
      <x:c r="E19" s="30"/>
      <x:c r="F19" s="30"/>
      <x:c r="G19" s="30"/>
      <x:c r="H19" s="30"/>
    </x:row>
    <x:row r="20">
      <x:c r="A20" s="30" t="str">
        <x:v>Historical lead</x:v>
      </x:c>
      <x:c r="B20" s="30" t="str">
        <x:v>Older evidence proves the restaurant existed, but current operation was not verified.</x:v>
      </x:c>
      <x:c r="C20" s="30"/>
      <x:c r="D20" s="30"/>
      <x:c r="E20" s="30"/>
      <x:c r="F20" s="30"/>
      <x:c r="G20" s="30"/>
      <x:c r="H20" s="3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6e2beffdb4e4ae6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14" hidden="0" customWidth="1"/>
    <x:col min="8" max="8" width="28" hidden="0" customWidth="1"/>
    <x:col min="9" max="9" width="58" hidden="0" customWidth="1"/>
  </x:cols>
  <x:sheetData>
    <x:row r="1" ht="36" customHeight="1">
      <x:c r="A1" s="26" t="str">
        <x:v>Canonical Locality</x:v>
      </x:c>
      <x:c r="B1" s="26" t="str">
        <x:v>Official / Common Name</x:v>
      </x:c>
      <x:c r="C1" s="26" t="str">
        <x:v>Active Verified</x:v>
      </x:c>
      <x:c r="D1" s="26" t="str">
        <x:v>Listed Current</x:v>
      </x:c>
      <x:c r="E1" s="26" t="str">
        <x:v>Needs Verification</x:v>
      </x:c>
      <x:c r="F1" s="26" t="str">
        <x:v>Closed / Conflict / Historical</x:v>
      </x:c>
      <x:c r="G1" s="26" t="str">
        <x:v>Total Surfaced</x:v>
      </x:c>
      <x:c r="H1" s="26" t="str">
        <x:v>Research Status</x:v>
      </x:c>
      <x:c r="I1" s="26" t="str">
        <x:v>Notes</x:v>
      </x:c>
    </x:row>
    <x:row r="2">
      <x:c r="A2" s="30" t="str">
        <x:v>Adchit</x:v>
      </x:c>
      <x:c r="B2" s="30" t="str">
        <x:v>Aadchit ech Chqif / Adchit</x:v>
      </x:c>
      <x:c r="C2" s="30" t="n">
        <x:f>COUNTIFS('Restaurants'!$B$2:$B$151,A2,'Restaurants'!$E$2:$E$151,"Active - verified")</x:f>
        <x:v>1</x:v>
      </x:c>
      <x:c r="D2" s="30" t="n">
        <x:f>COUNTIFS('Restaurants'!$B$2:$B$151,A2,'Restaurants'!$E$2:$E$151,"Listed current")</x:f>
        <x:v>1</x:v>
      </x:c>
      <x:c r="E2" s="30" t="n">
        <x:f>COUNTIFS('Restaurants'!$B$2:$B$151,A2,'Restaurants'!$E$2:$E$151,"Needs verification")</x:f>
        <x:v>1</x:v>
      </x:c>
      <x:c r="F2" s="30" t="n">
        <x:f>COUNTIFS('Restaurants'!$B$2:$B$151,A2,'Restaurants'!$E$2:$E$151,"Temporarily closed")+COUNTIFS('Restaurants'!$B$2:$B$151,A2,'Restaurants'!$E$2:$E$151,"Status conflict")+COUNTIFS('Restaurants'!$B$2:$B$151,A2,'Restaurants'!$E$2:$E$151,"Location conflict")+COUNTIFS('Restaurants'!$B$2:$B$151,A2,'Restaurants'!$E$2:$E$151,"Historical lead")</x:f>
        <x:v>1</x:v>
      </x:c>
      <x:c r="G2" s="30" t="n">
        <x:f>SUM(C2:F2)</x:f>
        <x:v>4</x:v>
      </x:c>
      <x:c r="H2" s="30" t="str">
        <x:f>IF(G2=0,"No named public restaurant verified","Listings found")</x:f>
        <x:v>Listings found</x:v>
      </x:c>
      <x:c r="I2" s="30" t="str"/>
    </x:row>
    <x:row r="3">
      <x:c r="A3" s="30" t="str">
        <x:v>Ain Qana</x:v>
      </x:c>
      <x:c r="B3" s="30" t="str">
        <x:v>Ain Qana</x:v>
      </x:c>
      <x:c r="C3" s="30" t="n">
        <x:f>COUNTIFS('Restaurants'!$B$2:$B$151,A3,'Restaurants'!$E$2:$E$151,"Active - verified")</x:f>
        <x:v>2</x:v>
      </x:c>
      <x:c r="D3" s="30" t="n">
        <x:f>COUNTIFS('Restaurants'!$B$2:$B$151,A3,'Restaurants'!$E$2:$E$151,"Listed current")</x:f>
        <x:v>0</x:v>
      </x:c>
      <x:c r="E3" s="30" t="n">
        <x:f>COUNTIFS('Restaurants'!$B$2:$B$151,A3,'Restaurants'!$E$2:$E$151,"Needs verification")</x:f>
        <x:v>0</x:v>
      </x:c>
      <x:c r="F3" s="30" t="n">
        <x:f>COUNTIFS('Restaurants'!$B$2:$B$151,A3,'Restaurants'!$E$2:$E$151,"Temporarily closed")+COUNTIFS('Restaurants'!$B$2:$B$151,A3,'Restaurants'!$E$2:$E$151,"Status conflict")+COUNTIFS('Restaurants'!$B$2:$B$151,A3,'Restaurants'!$E$2:$E$151,"Location conflict")+COUNTIFS('Restaurants'!$B$2:$B$151,A3,'Restaurants'!$E$2:$E$151,"Historical lead")</x:f>
        <x:v>0</x:v>
      </x:c>
      <x:c r="G3" s="30" t="n">
        <x:f>SUM(C3:F3)</x:f>
        <x:v>2</x:v>
      </x:c>
      <x:c r="H3" s="30" t="str">
        <x:f>IF(G3=0,"No named public restaurant verified","Listings found")</x:f>
        <x:v>Listings found</x:v>
      </x:c>
      <x:c r="I3" s="30" t="str"/>
    </x:row>
    <x:row r="4">
      <x:c r="A4" s="30" t="str">
        <x:v>Ansar</x:v>
      </x:c>
      <x:c r="B4" s="30" t="str">
        <x:v>Insar / Ansar</x:v>
      </x:c>
      <x:c r="C4" s="30" t="n">
        <x:f>COUNTIFS('Restaurants'!$B$2:$B$151,A4,'Restaurants'!$E$2:$E$151,"Active - verified")</x:f>
        <x:v>1</x:v>
      </x:c>
      <x:c r="D4" s="30" t="n">
        <x:f>COUNTIFS('Restaurants'!$B$2:$B$151,A4,'Restaurants'!$E$2:$E$151,"Listed current")</x:f>
        <x:v>1</x:v>
      </x:c>
      <x:c r="E4" s="30" t="n">
        <x:f>COUNTIFS('Restaurants'!$B$2:$B$151,A4,'Restaurants'!$E$2:$E$151,"Needs verification")</x:f>
        <x:v>1</x:v>
      </x:c>
      <x:c r="F4" s="30" t="n">
        <x:f>COUNTIFS('Restaurants'!$B$2:$B$151,A4,'Restaurants'!$E$2:$E$151,"Temporarily closed")+COUNTIFS('Restaurants'!$B$2:$B$151,A4,'Restaurants'!$E$2:$E$151,"Status conflict")+COUNTIFS('Restaurants'!$B$2:$B$151,A4,'Restaurants'!$E$2:$E$151,"Location conflict")+COUNTIFS('Restaurants'!$B$2:$B$151,A4,'Restaurants'!$E$2:$E$151,"Historical lead")</x:f>
        <x:v>2</x:v>
      </x:c>
      <x:c r="G4" s="30" t="n">
        <x:f>SUM(C4:F4)</x:f>
        <x:v>5</x:v>
      </x:c>
      <x:c r="H4" s="30" t="str">
        <x:f>IF(G4=0,"No named public restaurant verified","Listings found")</x:f>
        <x:v>Listings found</x:v>
      </x:c>
      <x:c r="I4" s="30" t="str"/>
    </x:row>
    <x:row r="5">
      <x:c r="A5" s="30" t="str">
        <x:v>Arabsalim</x:v>
      </x:c>
      <x:c r="B5" s="30" t="str">
        <x:v>Arab Salim</x:v>
      </x:c>
      <x:c r="C5" s="30" t="n">
        <x:f>COUNTIFS('Restaurants'!$B$2:$B$151,A5,'Restaurants'!$E$2:$E$151,"Active - verified")</x:f>
        <x:v>3</x:v>
      </x:c>
      <x:c r="D5" s="30" t="n">
        <x:f>COUNTIFS('Restaurants'!$B$2:$B$151,A5,'Restaurants'!$E$2:$E$151,"Listed current")</x:f>
        <x:v>5</x:v>
      </x:c>
      <x:c r="E5" s="30" t="n">
        <x:f>COUNTIFS('Restaurants'!$B$2:$B$151,A5,'Restaurants'!$E$2:$E$151,"Needs verification")</x:f>
        <x:v>12</x:v>
      </x:c>
      <x:c r="F5" s="30" t="n">
        <x:f>COUNTIFS('Restaurants'!$B$2:$B$151,A5,'Restaurants'!$E$2:$E$151,"Temporarily closed")+COUNTIFS('Restaurants'!$B$2:$B$151,A5,'Restaurants'!$E$2:$E$151,"Status conflict")+COUNTIFS('Restaurants'!$B$2:$B$151,A5,'Restaurants'!$E$2:$E$151,"Location conflict")+COUNTIFS('Restaurants'!$B$2:$B$151,A5,'Restaurants'!$E$2:$E$151,"Historical lead")</x:f>
        <x:v>0</x:v>
      </x:c>
      <x:c r="G5" s="30" t="n">
        <x:f>SUM(C5:F5)</x:f>
        <x:v>20</x:v>
      </x:c>
      <x:c r="H5" s="30" t="str">
        <x:f>IF(G5=0,"No named public restaurant verified","Listings found")</x:f>
        <x:v>Listings found</x:v>
      </x:c>
      <x:c r="I5" s="30" t="str"/>
    </x:row>
    <x:row r="6">
      <x:c r="A6" s="30" t="str">
        <x:v>Arnoun</x:v>
      </x:c>
      <x:c r="B6" s="30" t="str">
        <x:v>Arnoun</x:v>
      </x:c>
      <x:c r="C6" s="30" t="n">
        <x:f>COUNTIFS('Restaurants'!$B$2:$B$151,A6,'Restaurants'!$E$2:$E$151,"Active - verified")</x:f>
        <x:v>0</x:v>
      </x:c>
      <x:c r="D6" s="30" t="n">
        <x:f>COUNTIFS('Restaurants'!$B$2:$B$151,A6,'Restaurants'!$E$2:$E$151,"Listed current")</x:f>
        <x:v>0</x:v>
      </x:c>
      <x:c r="E6" s="30" t="n">
        <x:f>COUNTIFS('Restaurants'!$B$2:$B$151,A6,'Restaurants'!$E$2:$E$151,"Needs verification")</x:f>
        <x:v>0</x:v>
      </x:c>
      <x:c r="F6" s="30" t="n">
        <x:f>COUNTIFS('Restaurants'!$B$2:$B$151,A6,'Restaurants'!$E$2:$E$151,"Temporarily closed")+COUNTIFS('Restaurants'!$B$2:$B$151,A6,'Restaurants'!$E$2:$E$151,"Status conflict")+COUNTIFS('Restaurants'!$B$2:$B$151,A6,'Restaurants'!$E$2:$E$151,"Location conflict")+COUNTIFS('Restaurants'!$B$2:$B$151,A6,'Restaurants'!$E$2:$E$151,"Historical lead")</x:f>
        <x:v>2</x:v>
      </x:c>
      <x:c r="G6" s="30" t="n">
        <x:f>SUM(C6:F6)</x:f>
        <x:v>2</x:v>
      </x:c>
      <x:c r="H6" s="30" t="str">
        <x:f>IF(G6=0,"No named public restaurant verified","Listings found")</x:f>
        <x:v>Listings found</x:v>
      </x:c>
      <x:c r="I6" s="30" t="str"/>
    </x:row>
    <x:row r="7">
      <x:c r="A7" s="30" t="str">
        <x:v>Bariqaa / Breikaa</x:v>
      </x:c>
      <x:c r="B7" s="30" t="str">
        <x:v>Bariqaa / Braiqaa</x:v>
      </x:c>
      <x:c r="C7" s="30" t="n">
        <x:f>COUNTIFS('Restaurants'!$B$2:$B$151,A7,'Restaurants'!$E$2:$E$151,"Active - verified")</x:f>
        <x:v>0</x:v>
      </x:c>
      <x:c r="D7" s="30" t="n">
        <x:f>COUNTIFS('Restaurants'!$B$2:$B$151,A7,'Restaurants'!$E$2:$E$151,"Listed current")</x:f>
        <x:v>0</x:v>
      </x:c>
      <x:c r="E7" s="30" t="n">
        <x:f>COUNTIFS('Restaurants'!$B$2:$B$151,A7,'Restaurants'!$E$2:$E$151,"Needs verification")</x:f>
        <x:v>0</x:v>
      </x:c>
      <x:c r="F7" s="30" t="n">
        <x:f>COUNTIFS('Restaurants'!$B$2:$B$151,A7,'Restaurants'!$E$2:$E$151,"Temporarily closed")+COUNTIFS('Restaurants'!$B$2:$B$151,A7,'Restaurants'!$E$2:$E$151,"Status conflict")+COUNTIFS('Restaurants'!$B$2:$B$151,A7,'Restaurants'!$E$2:$E$151,"Location conflict")+COUNTIFS('Restaurants'!$B$2:$B$151,A7,'Restaurants'!$E$2:$E$151,"Historical lead")</x:f>
        <x:v>0</x:v>
      </x:c>
      <x:c r="G7" s="30" t="n">
        <x:f>SUM(C7:F7)</x:f>
        <x:v>0</x:v>
      </x:c>
      <x:c r="H7" s="30" t="str">
        <x:f>IF(G7=0,"No named public restaurant verified","Listings found")</x:f>
        <x:v>No named public restaurant verified</x:v>
      </x:c>
      <x:c r="I7" s="30" t="str">
        <x:v>Exact English/Arabic restaurant searches returned nearby places but no securely named restaurant inside Bariqaa.</x:v>
      </x:c>
    </x:row>
    <x:row r="8">
      <x:c r="A8" s="30" t="str">
        <x:v>Al-Sharqiya</x:v>
      </x:c>
      <x:c r="B8" s="30" t="str">
        <x:v>Charqiye / Al-Sharqiya</x:v>
      </x:c>
      <x:c r="C8" s="30" t="n">
        <x:f>COUNTIFS('Restaurants'!$B$2:$B$151,A8,'Restaurants'!$E$2:$E$151,"Active - verified")</x:f>
        <x:v>0</x:v>
      </x:c>
      <x:c r="D8" s="30" t="n">
        <x:f>COUNTIFS('Restaurants'!$B$2:$B$151,A8,'Restaurants'!$E$2:$E$151,"Listed current")</x:f>
        <x:v>0</x:v>
      </x:c>
      <x:c r="E8" s="30" t="n">
        <x:f>COUNTIFS('Restaurants'!$B$2:$B$151,A8,'Restaurants'!$E$2:$E$151,"Needs verification")</x:f>
        <x:v>0</x:v>
      </x:c>
      <x:c r="F8" s="30" t="n">
        <x:f>COUNTIFS('Restaurants'!$B$2:$B$151,A8,'Restaurants'!$E$2:$E$151,"Temporarily closed")+COUNTIFS('Restaurants'!$B$2:$B$151,A8,'Restaurants'!$E$2:$E$151,"Status conflict")+COUNTIFS('Restaurants'!$B$2:$B$151,A8,'Restaurants'!$E$2:$E$151,"Location conflict")+COUNTIFS('Restaurants'!$B$2:$B$151,A8,'Restaurants'!$E$2:$E$151,"Historical lead")</x:f>
        <x:v>0</x:v>
      </x:c>
      <x:c r="G8" s="30" t="n">
        <x:f>SUM(C8:F8)</x:f>
        <x:v>0</x:v>
      </x:c>
      <x:c r="H8" s="30" t="str">
        <x:f>IF(G8=0,"No named public restaurant verified","Listings found")</x:f>
        <x:v>No named public restaurant verified</x:v>
      </x:c>
      <x:c r="I8" s="30" t="str">
        <x:v>No dedicated named restaurant was securely verified inside Charqiyeh/Al-Sharqiya; coffee businesses were excluded.</x:v>
      </x:c>
    </x:row>
    <x:row r="9">
      <x:c r="A9" s="30" t="str">
        <x:v>Choukeen</x:v>
      </x:c>
      <x:c r="B9" s="30" t="str">
        <x:v>Choukine / Choukeen</x:v>
      </x:c>
      <x:c r="C9" s="30" t="n">
        <x:f>COUNTIFS('Restaurants'!$B$2:$B$151,A9,'Restaurants'!$E$2:$E$151,"Active - verified")</x:f>
        <x:v>0</x:v>
      </x:c>
      <x:c r="D9" s="30" t="n">
        <x:f>COUNTIFS('Restaurants'!$B$2:$B$151,A9,'Restaurants'!$E$2:$E$151,"Listed current")</x:f>
        <x:v>0</x:v>
      </x:c>
      <x:c r="E9" s="30" t="n">
        <x:f>COUNTIFS('Restaurants'!$B$2:$B$151,A9,'Restaurants'!$E$2:$E$151,"Needs verification")</x:f>
        <x:v>0</x:v>
      </x:c>
      <x:c r="F9" s="30" t="n">
        <x:f>COUNTIFS('Restaurants'!$B$2:$B$151,A9,'Restaurants'!$E$2:$E$151,"Temporarily closed")+COUNTIFS('Restaurants'!$B$2:$B$151,A9,'Restaurants'!$E$2:$E$151,"Status conflict")+COUNTIFS('Restaurants'!$B$2:$B$151,A9,'Restaurants'!$E$2:$E$151,"Location conflict")+COUNTIFS('Restaurants'!$B$2:$B$151,A9,'Restaurants'!$E$2:$E$151,"Historical lead")</x:f>
        <x:v>0</x:v>
      </x:c>
      <x:c r="G9" s="30" t="n">
        <x:f>SUM(C9:F9)</x:f>
        <x:v>0</x:v>
      </x:c>
      <x:c r="H9" s="30" t="str">
        <x:f>IF(G9=0,"No named public restaurant verified","Listings found")</x:f>
        <x:v>No named public restaurant verified</x:v>
      </x:c>
      <x:c r="I9" s="30" t="str">
        <x:v>No named restaurant securely tied to Choukeen in current public sources.</x:v>
      </x:c>
    </x:row>
    <x:row r="10">
      <x:c r="A10" s="30" t="str">
        <x:v>Deir Al-Zahrani</x:v>
      </x:c>
      <x:c r="B10" s="30" t="str">
        <x:v>Deir ez Zahrani</x:v>
      </x:c>
      <x:c r="C10" s="30" t="n">
        <x:f>COUNTIFS('Restaurants'!$B$2:$B$151,A10,'Restaurants'!$E$2:$E$151,"Active - verified")</x:f>
        <x:v>1</x:v>
      </x:c>
      <x:c r="D10" s="30" t="n">
        <x:f>COUNTIFS('Restaurants'!$B$2:$B$151,A10,'Restaurants'!$E$2:$E$151,"Listed current")</x:f>
        <x:v>7</x:v>
      </x:c>
      <x:c r="E10" s="30" t="n">
        <x:f>COUNTIFS('Restaurants'!$B$2:$B$151,A10,'Restaurants'!$E$2:$E$151,"Needs verification")</x:f>
        <x:v>0</x:v>
      </x:c>
      <x:c r="F10" s="30" t="n">
        <x:f>COUNTIFS('Restaurants'!$B$2:$B$151,A10,'Restaurants'!$E$2:$E$151,"Temporarily closed")+COUNTIFS('Restaurants'!$B$2:$B$151,A10,'Restaurants'!$E$2:$E$151,"Status conflict")+COUNTIFS('Restaurants'!$B$2:$B$151,A10,'Restaurants'!$E$2:$E$151,"Location conflict")+COUNTIFS('Restaurants'!$B$2:$B$151,A10,'Restaurants'!$E$2:$E$151,"Historical lead")</x:f>
        <x:v>0</x:v>
      </x:c>
      <x:c r="G10" s="30" t="n">
        <x:f>SUM(C10:F10)</x:f>
        <x:v>8</x:v>
      </x:c>
      <x:c r="H10" s="30" t="str">
        <x:f>IF(G10=0,"No named public restaurant verified","Listings found")</x:f>
        <x:v>Listings found</x:v>
      </x:c>
      <x:c r="I10" s="30" t="str"/>
    </x:row>
    <x:row r="11">
      <x:c r="A11" s="30" t="str">
        <x:v>Doueir</x:v>
      </x:c>
      <x:c r="B11" s="30" t="str">
        <x:v>Doueir El Nabatieh</x:v>
      </x:c>
      <x:c r="C11" s="30" t="n">
        <x:f>COUNTIFS('Restaurants'!$B$2:$B$151,A11,'Restaurants'!$E$2:$E$151,"Active - verified")</x:f>
        <x:v>0</x:v>
      </x:c>
      <x:c r="D11" s="30" t="n">
        <x:f>COUNTIFS('Restaurants'!$B$2:$B$151,A11,'Restaurants'!$E$2:$E$151,"Listed current")</x:f>
        <x:v>1</x:v>
      </x:c>
      <x:c r="E11" s="30" t="n">
        <x:f>COUNTIFS('Restaurants'!$B$2:$B$151,A11,'Restaurants'!$E$2:$E$151,"Needs verification")</x:f>
        <x:v>0</x:v>
      </x:c>
      <x:c r="F11" s="30" t="n">
        <x:f>COUNTIFS('Restaurants'!$B$2:$B$151,A11,'Restaurants'!$E$2:$E$151,"Temporarily closed")+COUNTIFS('Restaurants'!$B$2:$B$151,A11,'Restaurants'!$E$2:$E$151,"Status conflict")+COUNTIFS('Restaurants'!$B$2:$B$151,A11,'Restaurants'!$E$2:$E$151,"Location conflict")+COUNTIFS('Restaurants'!$B$2:$B$151,A11,'Restaurants'!$E$2:$E$151,"Historical lead")</x:f>
        <x:v>1</x:v>
      </x:c>
      <x:c r="G11" s="30" t="n">
        <x:f>SUM(C11:F11)</x:f>
        <x:v>2</x:v>
      </x:c>
      <x:c r="H11" s="30" t="str">
        <x:f>IF(G11=0,"No named public restaurant verified","Listings found")</x:f>
        <x:v>Listings found</x:v>
      </x:c>
      <x:c r="I11" s="30" t="str"/>
    </x:row>
    <x:row r="12">
      <x:c r="A12" s="30" t="str">
        <x:v>Aaba / Ebba</x:v>
      </x:c>
      <x:c r="B12" s="30" t="str">
        <x:v>Aabba / Ebba</x:v>
      </x:c>
      <x:c r="C12" s="30" t="n">
        <x:f>COUNTIFS('Restaurants'!$B$2:$B$151,A12,'Restaurants'!$E$2:$E$151,"Active - verified")</x:f>
        <x:v>0</x:v>
      </x:c>
      <x:c r="D12" s="30" t="n">
        <x:f>COUNTIFS('Restaurants'!$B$2:$B$151,A12,'Restaurants'!$E$2:$E$151,"Listed current")</x:f>
        <x:v>0</x:v>
      </x:c>
      <x:c r="E12" s="30" t="n">
        <x:f>COUNTIFS('Restaurants'!$B$2:$B$151,A12,'Restaurants'!$E$2:$E$151,"Needs verification")</x:f>
        <x:v>0</x:v>
      </x:c>
      <x:c r="F12" s="30" t="n">
        <x:f>COUNTIFS('Restaurants'!$B$2:$B$151,A12,'Restaurants'!$E$2:$E$151,"Temporarily closed")+COUNTIFS('Restaurants'!$B$2:$B$151,A12,'Restaurants'!$E$2:$E$151,"Status conflict")+COUNTIFS('Restaurants'!$B$2:$B$151,A12,'Restaurants'!$E$2:$E$151,"Location conflict")+COUNTIFS('Restaurants'!$B$2:$B$151,A12,'Restaurants'!$E$2:$E$151,"Historical lead")</x:f>
        <x:v>0</x:v>
      </x:c>
      <x:c r="G12" s="30" t="n">
        <x:f>SUM(C12:F12)</x:f>
        <x:v>0</x:v>
      </x:c>
      <x:c r="H12" s="30" t="str">
        <x:f>IF(G12=0,"No named public restaurant verified","Listings found")</x:f>
        <x:v>No named public restaurant verified</x:v>
      </x:c>
      <x:c r="I12" s="30" t="str">
        <x:v>No named current restaurant securely tied to Aabba/Ebba in this pass.</x:v>
      </x:c>
    </x:row>
    <x:row r="13">
      <x:c r="A13" s="30" t="str">
        <x:v>Habbouch</x:v>
      </x:c>
      <x:c r="B13" s="30" t="str">
        <x:v>Habbouch</x:v>
      </x:c>
      <x:c r="C13" s="30" t="n">
        <x:f>COUNTIFS('Restaurants'!$B$2:$B$151,A13,'Restaurants'!$E$2:$E$151,"Active - verified")</x:f>
        <x:v>1</x:v>
      </x:c>
      <x:c r="D13" s="30" t="n">
        <x:f>COUNTIFS('Restaurants'!$B$2:$B$151,A13,'Restaurants'!$E$2:$E$151,"Listed current")</x:f>
        <x:v>15</x:v>
      </x:c>
      <x:c r="E13" s="30" t="n">
        <x:f>COUNTIFS('Restaurants'!$B$2:$B$151,A13,'Restaurants'!$E$2:$E$151,"Needs verification")</x:f>
        <x:v>0</x:v>
      </x:c>
      <x:c r="F13" s="30" t="n">
        <x:f>COUNTIFS('Restaurants'!$B$2:$B$151,A13,'Restaurants'!$E$2:$E$151,"Temporarily closed")+COUNTIFS('Restaurants'!$B$2:$B$151,A13,'Restaurants'!$E$2:$E$151,"Status conflict")+COUNTIFS('Restaurants'!$B$2:$B$151,A13,'Restaurants'!$E$2:$E$151,"Location conflict")+COUNTIFS('Restaurants'!$B$2:$B$151,A13,'Restaurants'!$E$2:$E$151,"Historical lead")</x:f>
        <x:v>0</x:v>
      </x:c>
      <x:c r="G13" s="30" t="n">
        <x:f>SUM(C13:F13)</x:f>
        <x:v>16</x:v>
      </x:c>
      <x:c r="H13" s="30" t="str">
        <x:f>IF(G13=0,"No named public restaurant verified","Listings found")</x:f>
        <x:v>Listings found</x:v>
      </x:c>
      <x:c r="I13" s="30" t="str"/>
    </x:row>
    <x:row r="14">
      <x:c r="A14" s="30" t="str">
        <x:v>Harouf</x:v>
      </x:c>
      <x:c r="B14" s="30" t="str">
        <x:v>Harouf Nabatieh</x:v>
      </x:c>
      <x:c r="C14" s="30" t="n">
        <x:f>COUNTIFS('Restaurants'!$B$2:$B$151,A14,'Restaurants'!$E$2:$E$151,"Active - verified")</x:f>
        <x:v>1</x:v>
      </x:c>
      <x:c r="D14" s="30" t="n">
        <x:f>COUNTIFS('Restaurants'!$B$2:$B$151,A14,'Restaurants'!$E$2:$E$151,"Listed current")</x:f>
        <x:v>0</x:v>
      </x:c>
      <x:c r="E14" s="30" t="n">
        <x:f>COUNTIFS('Restaurants'!$B$2:$B$151,A14,'Restaurants'!$E$2:$E$151,"Needs verification")</x:f>
        <x:v>0</x:v>
      </x:c>
      <x:c r="F14" s="30" t="n">
        <x:f>COUNTIFS('Restaurants'!$B$2:$B$151,A14,'Restaurants'!$E$2:$E$151,"Temporarily closed")+COUNTIFS('Restaurants'!$B$2:$B$151,A14,'Restaurants'!$E$2:$E$151,"Status conflict")+COUNTIFS('Restaurants'!$B$2:$B$151,A14,'Restaurants'!$E$2:$E$151,"Location conflict")+COUNTIFS('Restaurants'!$B$2:$B$151,A14,'Restaurants'!$E$2:$E$151,"Historical lead")</x:f>
        <x:v>1</x:v>
      </x:c>
      <x:c r="G14" s="30" t="n">
        <x:f>SUM(C14:F14)</x:f>
        <x:v>2</x:v>
      </x:c>
      <x:c r="H14" s="30" t="str">
        <x:f>IF(G14=0,"No named public restaurant verified","Listings found")</x:f>
        <x:v>Listings found</x:v>
      </x:c>
      <x:c r="I14" s="30" t="str"/>
    </x:row>
    <x:row r="15">
      <x:c r="A15" s="30" t="str">
        <x:v>Houmine Al-Fawqa</x:v>
      </x:c>
      <x:c r="B15" s="30" t="str">
        <x:v>Houmine el Faouqa</x:v>
      </x:c>
      <x:c r="C15" s="30" t="n">
        <x:f>COUNTIFS('Restaurants'!$B$2:$B$151,A15,'Restaurants'!$E$2:$E$151,"Active - verified")</x:f>
        <x:v>0</x:v>
      </x:c>
      <x:c r="D15" s="30" t="n">
        <x:f>COUNTIFS('Restaurants'!$B$2:$B$151,A15,'Restaurants'!$E$2:$E$151,"Listed current")</x:f>
        <x:v>1</x:v>
      </x:c>
      <x:c r="E15" s="30" t="n">
        <x:f>COUNTIFS('Restaurants'!$B$2:$B$151,A15,'Restaurants'!$E$2:$E$151,"Needs verification")</x:f>
        <x:v>0</x:v>
      </x:c>
      <x:c r="F15" s="30" t="n">
        <x:f>COUNTIFS('Restaurants'!$B$2:$B$151,A15,'Restaurants'!$E$2:$E$151,"Temporarily closed")+COUNTIFS('Restaurants'!$B$2:$B$151,A15,'Restaurants'!$E$2:$E$151,"Status conflict")+COUNTIFS('Restaurants'!$B$2:$B$151,A15,'Restaurants'!$E$2:$E$151,"Location conflict")+COUNTIFS('Restaurants'!$B$2:$B$151,A15,'Restaurants'!$E$2:$E$151,"Historical lead")</x:f>
        <x:v>0</x:v>
      </x:c>
      <x:c r="G15" s="30" t="n">
        <x:f>SUM(C15:F15)</x:f>
        <x:v>1</x:v>
      </x:c>
      <x:c r="H15" s="30" t="str">
        <x:f>IF(G15=0,"No named public restaurant verified","Listings found")</x:f>
        <x:v>Listings found</x:v>
      </x:c>
      <x:c r="I15" s="30" t="str"/>
    </x:row>
    <x:row r="16">
      <x:c r="A16" s="30" t="str">
        <x:v>Houmine Al-Tahta</x:v>
      </x:c>
      <x:c r="B16" s="30" t="str">
        <x:v>Houmine et Tahta</x:v>
      </x:c>
      <x:c r="C16" s="30" t="n">
        <x:f>COUNTIFS('Restaurants'!$B$2:$B$151,A16,'Restaurants'!$E$2:$E$151,"Active - verified")</x:f>
        <x:v>0</x:v>
      </x:c>
      <x:c r="D16" s="30" t="n">
        <x:f>COUNTIFS('Restaurants'!$B$2:$B$151,A16,'Restaurants'!$E$2:$E$151,"Listed current")</x:f>
        <x:v>0</x:v>
      </x:c>
      <x:c r="E16" s="30" t="n">
        <x:f>COUNTIFS('Restaurants'!$B$2:$B$151,A16,'Restaurants'!$E$2:$E$151,"Needs verification")</x:f>
        <x:v>0</x:v>
      </x:c>
      <x:c r="F16" s="30" t="n">
        <x:f>COUNTIFS('Restaurants'!$B$2:$B$151,A16,'Restaurants'!$E$2:$E$151,"Temporarily closed")+COUNTIFS('Restaurants'!$B$2:$B$151,A16,'Restaurants'!$E$2:$E$151,"Status conflict")+COUNTIFS('Restaurants'!$B$2:$B$151,A16,'Restaurants'!$E$2:$E$151,"Location conflict")+COUNTIFS('Restaurants'!$B$2:$B$151,A16,'Restaurants'!$E$2:$E$151,"Historical lead")</x:f>
        <x:v>0</x:v>
      </x:c>
      <x:c r="G16" s="30" t="n">
        <x:f>SUM(C16:F16)</x:f>
        <x:v>0</x:v>
      </x:c>
      <x:c r="H16" s="30" t="str">
        <x:f>IF(G16=0,"No named public restaurant verified","Listings found")</x:f>
        <x:v>No named public restaurant verified</x:v>
      </x:c>
      <x:c r="I16" s="30" t="str">
        <x:v>Exact Arabic/English searches found locality information but no named current restaurant.</x:v>
      </x:c>
    </x:row>
    <x:row r="17">
      <x:c r="A17" s="30" t="str">
        <x:v>Jarjouh / Jargea</x:v>
      </x:c>
      <x:c r="B17" s="30" t="str">
        <x:v>Jarjouaa / Jarjouh</x:v>
      </x:c>
      <x:c r="C17" s="30" t="n">
        <x:f>COUNTIFS('Restaurants'!$B$2:$B$151,A17,'Restaurants'!$E$2:$E$151,"Active - verified")</x:f>
        <x:v>0</x:v>
      </x:c>
      <x:c r="D17" s="30" t="n">
        <x:f>COUNTIFS('Restaurants'!$B$2:$B$151,A17,'Restaurants'!$E$2:$E$151,"Listed current")</x:f>
        <x:v>2</x:v>
      </x:c>
      <x:c r="E17" s="30" t="n">
        <x:f>COUNTIFS('Restaurants'!$B$2:$B$151,A17,'Restaurants'!$E$2:$E$151,"Needs verification")</x:f>
        <x:v>0</x:v>
      </x:c>
      <x:c r="F17" s="30" t="n">
        <x:f>COUNTIFS('Restaurants'!$B$2:$B$151,A17,'Restaurants'!$E$2:$E$151,"Temporarily closed")+COUNTIFS('Restaurants'!$B$2:$B$151,A17,'Restaurants'!$E$2:$E$151,"Status conflict")+COUNTIFS('Restaurants'!$B$2:$B$151,A17,'Restaurants'!$E$2:$E$151,"Location conflict")+COUNTIFS('Restaurants'!$B$2:$B$151,A17,'Restaurants'!$E$2:$E$151,"Historical lead")</x:f>
        <x:v>0</x:v>
      </x:c>
      <x:c r="G17" s="30" t="n">
        <x:f>SUM(C17:F17)</x:f>
        <x:v>2</x:v>
      </x:c>
      <x:c r="H17" s="30" t="str">
        <x:f>IF(G17=0,"No named public restaurant verified","Listings found")</x:f>
        <x:v>Listings found</x:v>
      </x:c>
      <x:c r="I17" s="30" t="str"/>
    </x:row>
    <x:row r="18">
      <x:c r="A18" s="30" t="str">
        <x:v>Jbaa–Ain Bouswar</x:v>
      </x:c>
      <x:c r="B18" s="30" t="str">
        <x:v>Jbaa / Ain Bouswar</x:v>
      </x:c>
      <x:c r="C18" s="30" t="n">
        <x:f>COUNTIFS('Restaurants'!$B$2:$B$151,A18,'Restaurants'!$E$2:$E$151,"Active - verified")</x:f>
        <x:v>3</x:v>
      </x:c>
      <x:c r="D18" s="30" t="n">
        <x:f>COUNTIFS('Restaurants'!$B$2:$B$151,A18,'Restaurants'!$E$2:$E$151,"Listed current")</x:f>
        <x:v>0</x:v>
      </x:c>
      <x:c r="E18" s="30" t="n">
        <x:f>COUNTIFS('Restaurants'!$B$2:$B$151,A18,'Restaurants'!$E$2:$E$151,"Needs verification")</x:f>
        <x:v>0</x:v>
      </x:c>
      <x:c r="F18" s="30" t="n">
        <x:f>COUNTIFS('Restaurants'!$B$2:$B$151,A18,'Restaurants'!$E$2:$E$151,"Temporarily closed")+COUNTIFS('Restaurants'!$B$2:$B$151,A18,'Restaurants'!$E$2:$E$151,"Status conflict")+COUNTIFS('Restaurants'!$B$2:$B$151,A18,'Restaurants'!$E$2:$E$151,"Location conflict")+COUNTIFS('Restaurants'!$B$2:$B$151,A18,'Restaurants'!$E$2:$E$151,"Historical lead")</x:f>
        <x:v>6</x:v>
      </x:c>
      <x:c r="G18" s="30" t="n">
        <x:f>SUM(C18:F18)</x:f>
        <x:v>9</x:v>
      </x:c>
      <x:c r="H18" s="30" t="str">
        <x:f>IF(G18=0,"No named public restaurant verified","Listings found")</x:f>
        <x:v>Listings found</x:v>
      </x:c>
      <x:c r="I18" s="30" t="str"/>
    </x:row>
    <x:row r="19">
      <x:c r="A19" s="30" t="str">
        <x:v>Jibchit</x:v>
      </x:c>
      <x:c r="B19" s="30" t="str">
        <x:v>Jibchit</x:v>
      </x:c>
      <x:c r="C19" s="30" t="n">
        <x:f>COUNTIFS('Restaurants'!$B$2:$B$151,A19,'Restaurants'!$E$2:$E$151,"Active - verified")</x:f>
        <x:v>2</x:v>
      </x:c>
      <x:c r="D19" s="30" t="n">
        <x:f>COUNTIFS('Restaurants'!$B$2:$B$151,A19,'Restaurants'!$E$2:$E$151,"Listed current")</x:f>
        <x:v>0</x:v>
      </x:c>
      <x:c r="E19" s="30" t="n">
        <x:f>COUNTIFS('Restaurants'!$B$2:$B$151,A19,'Restaurants'!$E$2:$E$151,"Needs verification")</x:f>
        <x:v>0</x:v>
      </x:c>
      <x:c r="F19" s="30" t="n">
        <x:f>COUNTIFS('Restaurants'!$B$2:$B$151,A19,'Restaurants'!$E$2:$E$151,"Temporarily closed")+COUNTIFS('Restaurants'!$B$2:$B$151,A19,'Restaurants'!$E$2:$E$151,"Status conflict")+COUNTIFS('Restaurants'!$B$2:$B$151,A19,'Restaurants'!$E$2:$E$151,"Location conflict")+COUNTIFS('Restaurants'!$B$2:$B$151,A19,'Restaurants'!$E$2:$E$151,"Historical lead")</x:f>
        <x:v>0</x:v>
      </x:c>
      <x:c r="G19" s="30" t="n">
        <x:f>SUM(C19:F19)</x:f>
        <x:v>2</x:v>
      </x:c>
      <x:c r="H19" s="30" t="str">
        <x:f>IF(G19=0,"No named public restaurant verified","Listings found")</x:f>
        <x:v>Listings found</x:v>
      </x:c>
      <x:c r="I19" s="30" t="str"/>
    </x:row>
    <x:row r="20">
      <x:c r="A20" s="30" t="str">
        <x:v>Kaakaiyet Al-Jisr</x:v>
      </x:c>
      <x:c r="B20" s="30" t="str">
        <x:v>Qaaqaaiyet ej Jisr</x:v>
      </x:c>
      <x:c r="C20" s="30" t="n">
        <x:f>COUNTIFS('Restaurants'!$B$2:$B$151,A20,'Restaurants'!$E$2:$E$151,"Active - verified")</x:f>
        <x:v>0</x:v>
      </x:c>
      <x:c r="D20" s="30" t="n">
        <x:f>COUNTIFS('Restaurants'!$B$2:$B$151,A20,'Restaurants'!$E$2:$E$151,"Listed current")</x:f>
        <x:v>1</x:v>
      </x:c>
      <x:c r="E20" s="30" t="n">
        <x:f>COUNTIFS('Restaurants'!$B$2:$B$151,A20,'Restaurants'!$E$2:$E$151,"Needs verification")</x:f>
        <x:v>0</x:v>
      </x:c>
      <x:c r="F20" s="30" t="n">
        <x:f>COUNTIFS('Restaurants'!$B$2:$B$151,A20,'Restaurants'!$E$2:$E$151,"Temporarily closed")+COUNTIFS('Restaurants'!$B$2:$B$151,A20,'Restaurants'!$E$2:$E$151,"Status conflict")+COUNTIFS('Restaurants'!$B$2:$B$151,A20,'Restaurants'!$E$2:$E$151,"Location conflict")+COUNTIFS('Restaurants'!$B$2:$B$151,A20,'Restaurants'!$E$2:$E$151,"Historical lead")</x:f>
        <x:v>0</x:v>
      </x:c>
      <x:c r="G20" s="30" t="n">
        <x:f>SUM(C20:F20)</x:f>
        <x:v>1</x:v>
      </x:c>
      <x:c r="H20" s="30" t="str">
        <x:f>IF(G20=0,"No named public restaurant verified","Listings found")</x:f>
        <x:v>Listings found</x:v>
      </x:c>
      <x:c r="I20" s="30" t="str"/>
    </x:row>
    <x:row r="21">
      <x:c r="A21" s="30" t="str">
        <x:v>Kafr Fila</x:v>
      </x:c>
      <x:c r="B21" s="30" t="str">
        <x:v>Kfar Fila</x:v>
      </x:c>
      <x:c r="C21" s="30" t="n">
        <x:f>COUNTIFS('Restaurants'!$B$2:$B$151,A21,'Restaurants'!$E$2:$E$151,"Active - verified")</x:f>
        <x:v>0</x:v>
      </x:c>
      <x:c r="D21" s="30" t="n">
        <x:f>COUNTIFS('Restaurants'!$B$2:$B$151,A21,'Restaurants'!$E$2:$E$151,"Listed current")</x:f>
        <x:v>0</x:v>
      </x:c>
      <x:c r="E21" s="30" t="n">
        <x:f>COUNTIFS('Restaurants'!$B$2:$B$151,A21,'Restaurants'!$E$2:$E$151,"Needs verification")</x:f>
        <x:v>0</x:v>
      </x:c>
      <x:c r="F21" s="30" t="n">
        <x:f>COUNTIFS('Restaurants'!$B$2:$B$151,A21,'Restaurants'!$E$2:$E$151,"Temporarily closed")+COUNTIFS('Restaurants'!$B$2:$B$151,A21,'Restaurants'!$E$2:$E$151,"Status conflict")+COUNTIFS('Restaurants'!$B$2:$B$151,A21,'Restaurants'!$E$2:$E$151,"Location conflict")+COUNTIFS('Restaurants'!$B$2:$B$151,A21,'Restaurants'!$E$2:$E$151,"Historical lead")</x:f>
        <x:v>0</x:v>
      </x:c>
      <x:c r="G21" s="30" t="n">
        <x:f>SUM(C21:F21)</x:f>
        <x:v>0</x:v>
      </x:c>
      <x:c r="H21" s="30" t="str">
        <x:f>IF(G21=0,"No named public restaurant verified","Listings found")</x:f>
        <x:v>No named public restaurant verified</x:v>
      </x:c>
      <x:c r="I21" s="30" t="str">
        <x:v>No named current restaurant securely verified; nearby Jbaa/Ain Bouswar venues were excluded.</x:v>
      </x:c>
    </x:row>
    <x:row r="22">
      <x:c r="A22" s="30" t="str">
        <x:v>Kafr Roummane</x:v>
      </x:c>
      <x:c r="B22" s="30" t="str">
        <x:v>Kfar Roummane / Kafr Rumman</x:v>
      </x:c>
      <x:c r="C22" s="30" t="n">
        <x:f>COUNTIFS('Restaurants'!$B$2:$B$151,A22,'Restaurants'!$E$2:$E$151,"Active - verified")</x:f>
        <x:v>4</x:v>
      </x:c>
      <x:c r="D22" s="30" t="n">
        <x:f>COUNTIFS('Restaurants'!$B$2:$B$151,A22,'Restaurants'!$E$2:$E$151,"Listed current")</x:f>
        <x:v>14</x:v>
      </x:c>
      <x:c r="E22" s="30" t="n">
        <x:f>COUNTIFS('Restaurants'!$B$2:$B$151,A22,'Restaurants'!$E$2:$E$151,"Needs verification")</x:f>
        <x:v>0</x:v>
      </x:c>
      <x:c r="F22" s="30" t="n">
        <x:f>COUNTIFS('Restaurants'!$B$2:$B$151,A22,'Restaurants'!$E$2:$E$151,"Temporarily closed")+COUNTIFS('Restaurants'!$B$2:$B$151,A22,'Restaurants'!$E$2:$E$151,"Status conflict")+COUNTIFS('Restaurants'!$B$2:$B$151,A22,'Restaurants'!$E$2:$E$151,"Location conflict")+COUNTIFS('Restaurants'!$B$2:$B$151,A22,'Restaurants'!$E$2:$E$151,"Historical lead")</x:f>
        <x:v>0</x:v>
      </x:c>
      <x:c r="G22" s="30" t="n">
        <x:f>SUM(C22:F22)</x:f>
        <x:v>18</x:v>
      </x:c>
      <x:c r="H22" s="30" t="str">
        <x:f>IF(G22=0,"No named public restaurant verified","Listings found")</x:f>
        <x:v>Listings found</x:v>
      </x:c>
      <x:c r="I22" s="30" t="str"/>
    </x:row>
    <x:row r="23">
      <x:c r="A23" s="30" t="str">
        <x:v>Kafr Sir</x:v>
      </x:c>
      <x:c r="B23" s="30" t="str">
        <x:v>Kfar Sir</x:v>
      </x:c>
      <x:c r="C23" s="30" t="n">
        <x:f>COUNTIFS('Restaurants'!$B$2:$B$151,A23,'Restaurants'!$E$2:$E$151,"Active - verified")</x:f>
        <x:v>1</x:v>
      </x:c>
      <x:c r="D23" s="30" t="n">
        <x:f>COUNTIFS('Restaurants'!$B$2:$B$151,A23,'Restaurants'!$E$2:$E$151,"Listed current")</x:f>
        <x:v>0</x:v>
      </x:c>
      <x:c r="E23" s="30" t="n">
        <x:f>COUNTIFS('Restaurants'!$B$2:$B$151,A23,'Restaurants'!$E$2:$E$151,"Needs verification")</x:f>
        <x:v>0</x:v>
      </x:c>
      <x:c r="F23" s="30" t="n">
        <x:f>COUNTIFS('Restaurants'!$B$2:$B$151,A23,'Restaurants'!$E$2:$E$151,"Temporarily closed")+COUNTIFS('Restaurants'!$B$2:$B$151,A23,'Restaurants'!$E$2:$E$151,"Status conflict")+COUNTIFS('Restaurants'!$B$2:$B$151,A23,'Restaurants'!$E$2:$E$151,"Location conflict")+COUNTIFS('Restaurants'!$B$2:$B$151,A23,'Restaurants'!$E$2:$E$151,"Historical lead")</x:f>
        <x:v>0</x:v>
      </x:c>
      <x:c r="G23" s="30" t="n">
        <x:f>SUM(C23:F23)</x:f>
        <x:v>1</x:v>
      </x:c>
      <x:c r="H23" s="30" t="str">
        <x:f>IF(G23=0,"No named public restaurant verified","Listings found")</x:f>
        <x:v>Listings found</x:v>
      </x:c>
      <x:c r="I23" s="30" t="str"/>
    </x:row>
    <x:row r="24">
      <x:c r="A24" s="30" t="str">
        <x:v>Kafr Tibnit</x:v>
      </x:c>
      <x:c r="B24" s="30" t="str">
        <x:v>Kfar Tebnit</x:v>
      </x:c>
      <x:c r="C24" s="30" t="n">
        <x:f>COUNTIFS('Restaurants'!$B$2:$B$151,A24,'Restaurants'!$E$2:$E$151,"Active - verified")</x:f>
        <x:v>0</x:v>
      </x:c>
      <x:c r="D24" s="30" t="n">
        <x:f>COUNTIFS('Restaurants'!$B$2:$B$151,A24,'Restaurants'!$E$2:$E$151,"Listed current")</x:f>
        <x:v>0</x:v>
      </x:c>
      <x:c r="E24" s="30" t="n">
        <x:f>COUNTIFS('Restaurants'!$B$2:$B$151,A24,'Restaurants'!$E$2:$E$151,"Needs verification")</x:f>
        <x:v>0</x:v>
      </x:c>
      <x:c r="F24" s="30" t="n">
        <x:f>COUNTIFS('Restaurants'!$B$2:$B$151,A24,'Restaurants'!$E$2:$E$151,"Temporarily closed")+COUNTIFS('Restaurants'!$B$2:$B$151,A24,'Restaurants'!$E$2:$E$151,"Status conflict")+COUNTIFS('Restaurants'!$B$2:$B$151,A24,'Restaurants'!$E$2:$E$151,"Location conflict")+COUNTIFS('Restaurants'!$B$2:$B$151,A24,'Restaurants'!$E$2:$E$151,"Historical lead")</x:f>
        <x:v>0</x:v>
      </x:c>
      <x:c r="G24" s="30" t="n">
        <x:f>SUM(C24:F24)</x:f>
        <x:v>0</x:v>
      </x:c>
      <x:c r="H24" s="30" t="str">
        <x:f>IF(G24=0,"No named public restaurant verified","Listings found")</x:f>
        <x:v>No named public restaurant verified</x:v>
      </x:c>
      <x:c r="I24" s="30" t="str">
        <x:v>Radius directories incorrectly surface Nabatieh restaurants such as Beit El Kel; no exact current Kfar Tebnit restaurant was confirmed.</x:v>
      </x:c>
    </x:row>
    <x:row r="25">
      <x:c r="A25" s="30" t="str">
        <x:v>Al-Kfour</x:v>
      </x:c>
      <x:c r="B25" s="30" t="str">
        <x:v>Kfour El Nabatieh</x:v>
      </x:c>
      <x:c r="C25" s="30" t="n">
        <x:f>COUNTIFS('Restaurants'!$B$2:$B$151,A25,'Restaurants'!$E$2:$E$151,"Active - verified")</x:f>
        <x:v>0</x:v>
      </x:c>
      <x:c r="D25" s="30" t="n">
        <x:f>COUNTIFS('Restaurants'!$B$2:$B$151,A25,'Restaurants'!$E$2:$E$151,"Listed current")</x:f>
        <x:v>0</x:v>
      </x:c>
      <x:c r="E25" s="30" t="n">
        <x:f>COUNTIFS('Restaurants'!$B$2:$B$151,A25,'Restaurants'!$E$2:$E$151,"Needs verification")</x:f>
        <x:v>0</x:v>
      </x:c>
      <x:c r="F25" s="30" t="n">
        <x:f>COUNTIFS('Restaurants'!$B$2:$B$151,A25,'Restaurants'!$E$2:$E$151,"Temporarily closed")+COUNTIFS('Restaurants'!$B$2:$B$151,A25,'Restaurants'!$E$2:$E$151,"Status conflict")+COUNTIFS('Restaurants'!$B$2:$B$151,A25,'Restaurants'!$E$2:$E$151,"Location conflict")+COUNTIFS('Restaurants'!$B$2:$B$151,A25,'Restaurants'!$E$2:$E$151,"Historical lead")</x:f>
        <x:v>1</x:v>
      </x:c>
      <x:c r="G25" s="30" t="n">
        <x:f>SUM(C25:F25)</x:f>
        <x:v>1</x:v>
      </x:c>
      <x:c r="H25" s="30" t="str">
        <x:f>IF(G25=0,"No named public restaurant verified","Listings found")</x:f>
        <x:v>Listings found</x:v>
      </x:c>
      <x:c r="I25" s="30" t="str"/>
    </x:row>
    <x:row r="26">
      <x:c r="A26" s="30" t="str">
        <x:v>Al-Qsaybeh</x:v>
      </x:c>
      <x:c r="B26" s="30" t="str">
        <x:v>Qsaibe / Al Qsaybeh</x:v>
      </x:c>
      <x:c r="C26" s="30" t="n">
        <x:f>COUNTIFS('Restaurants'!$B$2:$B$151,A26,'Restaurants'!$E$2:$E$151,"Active - verified")</x:f>
        <x:v>2</x:v>
      </x:c>
      <x:c r="D26" s="30" t="n">
        <x:f>COUNTIFS('Restaurants'!$B$2:$B$151,A26,'Restaurants'!$E$2:$E$151,"Listed current")</x:f>
        <x:v>0</x:v>
      </x:c>
      <x:c r="E26" s="30" t="n">
        <x:f>COUNTIFS('Restaurants'!$B$2:$B$151,A26,'Restaurants'!$E$2:$E$151,"Needs verification")</x:f>
        <x:v>1</x:v>
      </x:c>
      <x:c r="F26" s="30" t="n">
        <x:f>COUNTIFS('Restaurants'!$B$2:$B$151,A26,'Restaurants'!$E$2:$E$151,"Temporarily closed")+COUNTIFS('Restaurants'!$B$2:$B$151,A26,'Restaurants'!$E$2:$E$151,"Status conflict")+COUNTIFS('Restaurants'!$B$2:$B$151,A26,'Restaurants'!$E$2:$E$151,"Location conflict")+COUNTIFS('Restaurants'!$B$2:$B$151,A26,'Restaurants'!$E$2:$E$151,"Historical lead")</x:f>
        <x:v>0</x:v>
      </x:c>
      <x:c r="G26" s="30" t="n">
        <x:f>SUM(C26:F26)</x:f>
        <x:v>3</x:v>
      </x:c>
      <x:c r="H26" s="30" t="str">
        <x:f>IF(G26=0,"No named public restaurant verified","Listings found")</x:f>
        <x:v>Listings found</x:v>
      </x:c>
      <x:c r="I26" s="30" t="str"/>
    </x:row>
    <x:row r="27">
      <x:c r="A27" s="30" t="str">
        <x:v>Mayfadoun</x:v>
      </x:c>
      <x:c r="B27" s="30" t="str">
        <x:v>Maifadoun / Mayfadoun</x:v>
      </x:c>
      <x:c r="C27" s="30" t="n">
        <x:f>COUNTIFS('Restaurants'!$B$2:$B$151,A27,'Restaurants'!$E$2:$E$151,"Active - verified")</x:f>
        <x:v>0</x:v>
      </x:c>
      <x:c r="D27" s="30" t="n">
        <x:f>COUNTIFS('Restaurants'!$B$2:$B$151,A27,'Restaurants'!$E$2:$E$151,"Listed current")</x:f>
        <x:v>0</x:v>
      </x:c>
      <x:c r="E27" s="30" t="n">
        <x:f>COUNTIFS('Restaurants'!$B$2:$B$151,A27,'Restaurants'!$E$2:$E$151,"Needs verification")</x:f>
        <x:v>0</x:v>
      </x:c>
      <x:c r="F27" s="30" t="n">
        <x:f>COUNTIFS('Restaurants'!$B$2:$B$151,A27,'Restaurants'!$E$2:$E$151,"Temporarily closed")+COUNTIFS('Restaurants'!$B$2:$B$151,A27,'Restaurants'!$E$2:$E$151,"Status conflict")+COUNTIFS('Restaurants'!$B$2:$B$151,A27,'Restaurants'!$E$2:$E$151,"Location conflict")+COUNTIFS('Restaurants'!$B$2:$B$151,A27,'Restaurants'!$E$2:$E$151,"Historical lead")</x:f>
        <x:v>0</x:v>
      </x:c>
      <x:c r="G27" s="30" t="n">
        <x:f>SUM(C27:F27)</x:f>
        <x:v>0</x:v>
      </x:c>
      <x:c r="H27" s="30" t="str">
        <x:f>IF(G27=0,"No named public restaurant verified","Listings found")</x:f>
        <x:v>No named public restaurant verified</x:v>
      </x:c>
      <x:c r="I27" s="30" t="str">
        <x:v>No named current restaurant securely verified; historical food/business records without a clear restaurant identity were not promoted.</x:v>
      </x:c>
    </x:row>
    <x:row r="28">
      <x:c r="A28" s="30" t="str">
        <x:v>Nabatieh</x:v>
      </x:c>
      <x:c r="B28" s="30" t="str">
        <x:v>Nabatieh</x:v>
      </x:c>
      <x:c r="C28" s="30" t="n">
        <x:f>COUNTIFS('Restaurants'!$B$2:$B$151,A28,'Restaurants'!$E$2:$E$151,"Active - verified")</x:f>
        <x:v>22</x:v>
      </x:c>
      <x:c r="D28" s="30" t="n">
        <x:f>COUNTIFS('Restaurants'!$B$2:$B$151,A28,'Restaurants'!$E$2:$E$151,"Listed current")</x:f>
        <x:v>11</x:v>
      </x:c>
      <x:c r="E28" s="30" t="n">
        <x:f>COUNTIFS('Restaurants'!$B$2:$B$151,A28,'Restaurants'!$E$2:$E$151,"Needs verification")</x:f>
        <x:v>0</x:v>
      </x:c>
      <x:c r="F28" s="30" t="n">
        <x:f>COUNTIFS('Restaurants'!$B$2:$B$151,A28,'Restaurants'!$E$2:$E$151,"Temporarily closed")+COUNTIFS('Restaurants'!$B$2:$B$151,A28,'Restaurants'!$E$2:$E$151,"Status conflict")+COUNTIFS('Restaurants'!$B$2:$B$151,A28,'Restaurants'!$E$2:$E$151,"Location conflict")+COUNTIFS('Restaurants'!$B$2:$B$151,A28,'Restaurants'!$E$2:$E$151,"Historical lead")</x:f>
        <x:v>3</x:v>
      </x:c>
      <x:c r="G28" s="30" t="n">
        <x:f>SUM(C28:F28)</x:f>
        <x:v>36</x:v>
      </x:c>
      <x:c r="H28" s="30" t="str">
        <x:f>IF(G28=0,"No named public restaurant verified","Listings found")</x:f>
        <x:v>Listings found</x:v>
      </x:c>
      <x:c r="I28" s="30" t="str"/>
    </x:row>
    <x:row r="29">
      <x:c r="A29" s="30" t="str">
        <x:v>Nabatieh Al-Fawqa</x:v>
      </x:c>
      <x:c r="B29" s="30" t="str">
        <x:v>Nabatieh el Faouqa</x:v>
      </x:c>
      <x:c r="C29" s="30" t="n">
        <x:f>COUNTIFS('Restaurants'!$B$2:$B$151,A29,'Restaurants'!$E$2:$E$151,"Active - verified")</x:f>
        <x:v>0</x:v>
      </x:c>
      <x:c r="D29" s="30" t="n">
        <x:f>COUNTIFS('Restaurants'!$B$2:$B$151,A29,'Restaurants'!$E$2:$E$151,"Listed current")</x:f>
        <x:v>0</x:v>
      </x:c>
      <x:c r="E29" s="30" t="n">
        <x:f>COUNTIFS('Restaurants'!$B$2:$B$151,A29,'Restaurants'!$E$2:$E$151,"Needs verification")</x:f>
        <x:v>0</x:v>
      </x:c>
      <x:c r="F29" s="30" t="n">
        <x:f>COUNTIFS('Restaurants'!$B$2:$B$151,A29,'Restaurants'!$E$2:$E$151,"Temporarily closed")+COUNTIFS('Restaurants'!$B$2:$B$151,A29,'Restaurants'!$E$2:$E$151,"Status conflict")+COUNTIFS('Restaurants'!$B$2:$B$151,A29,'Restaurants'!$E$2:$E$151,"Location conflict")+COUNTIFS('Restaurants'!$B$2:$B$151,A29,'Restaurants'!$E$2:$E$151,"Historical lead")</x:f>
        <x:v>1</x:v>
      </x:c>
      <x:c r="G29" s="30" t="n">
        <x:f>SUM(C29:F29)</x:f>
        <x:v>1</x:v>
      </x:c>
      <x:c r="H29" s="30" t="str">
        <x:f>IF(G29=0,"No named public restaurant verified","Listings found")</x:f>
        <x:v>Listings found</x:v>
      </x:c>
      <x:c r="I29" s="30" t="str"/>
    </x:row>
    <x:row r="30">
      <x:c r="A30" s="30" t="str">
        <x:v>Nemriyeh</x:v>
      </x:c>
      <x:c r="B30" s="30" t="str">
        <x:v>Nmairiye / Nemriye</x:v>
      </x:c>
      <x:c r="C30" s="30" t="n">
        <x:f>COUNTIFS('Restaurants'!$B$2:$B$151,A30,'Restaurants'!$E$2:$E$151,"Active - verified")</x:f>
        <x:v>0</x:v>
      </x:c>
      <x:c r="D30" s="30" t="n">
        <x:f>COUNTIFS('Restaurants'!$B$2:$B$151,A30,'Restaurants'!$E$2:$E$151,"Listed current")</x:f>
        <x:v>0</x:v>
      </x:c>
      <x:c r="E30" s="30" t="n">
        <x:f>COUNTIFS('Restaurants'!$B$2:$B$151,A30,'Restaurants'!$E$2:$E$151,"Needs verification")</x:f>
        <x:v>0</x:v>
      </x:c>
      <x:c r="F30" s="30" t="n">
        <x:f>COUNTIFS('Restaurants'!$B$2:$B$151,A30,'Restaurants'!$E$2:$E$151,"Temporarily closed")+COUNTIFS('Restaurants'!$B$2:$B$151,A30,'Restaurants'!$E$2:$E$151,"Status conflict")+COUNTIFS('Restaurants'!$B$2:$B$151,A30,'Restaurants'!$E$2:$E$151,"Location conflict")+COUNTIFS('Restaurants'!$B$2:$B$151,A30,'Restaurants'!$E$2:$E$151,"Historical lead")</x:f>
        <x:v>0</x:v>
      </x:c>
      <x:c r="G30" s="30" t="n">
        <x:f>SUM(C30:F30)</x:f>
        <x:v>0</x:v>
      </x:c>
      <x:c r="H30" s="30" t="str">
        <x:f>IF(G30=0,"No named public restaurant verified","Listings found")</x:f>
        <x:v>No named public restaurant verified</x:v>
      </x:c>
      <x:c r="I30" s="30" t="str">
        <x:v>No named current restaurant securely verified in exact locality searches.</x:v>
      </x:c>
    </x:row>
    <x:row r="31">
      <x:c r="A31" s="30" t="str">
        <x:v>Roumine</x:v>
      </x:c>
      <x:c r="B31" s="30" t="str">
        <x:v>Roumine / Rumine</x:v>
      </x:c>
      <x:c r="C31" s="30" t="n">
        <x:f>COUNTIFS('Restaurants'!$B$2:$B$151,A31,'Restaurants'!$E$2:$E$151,"Active - verified")</x:f>
        <x:v>0</x:v>
      </x:c>
      <x:c r="D31" s="30" t="n">
        <x:f>COUNTIFS('Restaurants'!$B$2:$B$151,A31,'Restaurants'!$E$2:$E$151,"Listed current")</x:f>
        <x:v>0</x:v>
      </x:c>
      <x:c r="E31" s="30" t="n">
        <x:f>COUNTIFS('Restaurants'!$B$2:$B$151,A31,'Restaurants'!$E$2:$E$151,"Needs verification")</x:f>
        <x:v>0</x:v>
      </x:c>
      <x:c r="F31" s="30" t="n">
        <x:f>COUNTIFS('Restaurants'!$B$2:$B$151,A31,'Restaurants'!$E$2:$E$151,"Temporarily closed")+COUNTIFS('Restaurants'!$B$2:$B$151,A31,'Restaurants'!$E$2:$E$151,"Status conflict")+COUNTIFS('Restaurants'!$B$2:$B$151,A31,'Restaurants'!$E$2:$E$151,"Location conflict")+COUNTIFS('Restaurants'!$B$2:$B$151,A31,'Restaurants'!$E$2:$E$151,"Historical lead")</x:f>
        <x:v>0</x:v>
      </x:c>
      <x:c r="G31" s="30" t="n">
        <x:f>SUM(C31:F31)</x:f>
        <x:v>0</x:v>
      </x:c>
      <x:c r="H31" s="30" t="str">
        <x:f>IF(G31=0,"No named public restaurant verified","Listings found")</x:f>
        <x:v>No named public restaurant verified</x:v>
      </x:c>
      <x:c r="I31" s="30" t="str">
        <x:v>Current WenRayhin town page shows two verified places (hiking and dessert) and no restaurant.</x:v>
      </x:c>
    </x:row>
    <x:row r="32">
      <x:c r="A32" s="30" t="str">
        <x:v>Sarba</x:v>
      </x:c>
      <x:c r="B32" s="30" t="str">
        <x:v>Sarbah (Nabatieh)</x:v>
      </x:c>
      <x:c r="C32" s="30" t="n">
        <x:f>COUNTIFS('Restaurants'!$B$2:$B$151,A32,'Restaurants'!$E$2:$E$151,"Active - verified")</x:f>
        <x:v>0</x:v>
      </x:c>
      <x:c r="D32" s="30" t="n">
        <x:f>COUNTIFS('Restaurants'!$B$2:$B$151,A32,'Restaurants'!$E$2:$E$151,"Listed current")</x:f>
        <x:v>0</x:v>
      </x:c>
      <x:c r="E32" s="30" t="n">
        <x:f>COUNTIFS('Restaurants'!$B$2:$B$151,A32,'Restaurants'!$E$2:$E$151,"Needs verification")</x:f>
        <x:v>0</x:v>
      </x:c>
      <x:c r="F32" s="30" t="n">
        <x:f>COUNTIFS('Restaurants'!$B$2:$B$151,A32,'Restaurants'!$E$2:$E$151,"Temporarily closed")+COUNTIFS('Restaurants'!$B$2:$B$151,A32,'Restaurants'!$E$2:$E$151,"Status conflict")+COUNTIFS('Restaurants'!$B$2:$B$151,A32,'Restaurants'!$E$2:$E$151,"Location conflict")+COUNTIFS('Restaurants'!$B$2:$B$151,A32,'Restaurants'!$E$2:$E$151,"Historical lead")</x:f>
        <x:v>0</x:v>
      </x:c>
      <x:c r="G32" s="30" t="n">
        <x:f>SUM(C32:F32)</x:f>
        <x:v>0</x:v>
      </x:c>
      <x:c r="H32" s="30" t="str">
        <x:f>IF(G32=0,"No named public restaurant verified","Listings found")</x:f>
        <x:v>No named public restaurant verified</x:v>
      </x:c>
      <x:c r="I32" s="30" t="str">
        <x:v>Searches frequently returned Sarba/Keserwan; those were excluded. No exact Sarbah-Nabatieh restaurant was confirmed.</x:v>
      </x:c>
    </x:row>
    <x:row r="33">
      <x:c r="A33" s="30" t="str">
        <x:v>Seen / Siney</x:v>
      </x:c>
      <x:c r="B33" s="30" t="str">
        <x:v>Seen / Siney</x:v>
      </x:c>
      <x:c r="C33" s="30" t="n">
        <x:f>COUNTIFS('Restaurants'!$B$2:$B$151,A33,'Restaurants'!$E$2:$E$151,"Active - verified")</x:f>
        <x:v>0</x:v>
      </x:c>
      <x:c r="D33" s="30" t="n">
        <x:f>COUNTIFS('Restaurants'!$B$2:$B$151,A33,'Restaurants'!$E$2:$E$151,"Listed current")</x:f>
        <x:v>0</x:v>
      </x:c>
      <x:c r="E33" s="30" t="n">
        <x:f>COUNTIFS('Restaurants'!$B$2:$B$151,A33,'Restaurants'!$E$2:$E$151,"Needs verification")</x:f>
        <x:v>0</x:v>
      </x:c>
      <x:c r="F33" s="30" t="n">
        <x:f>COUNTIFS('Restaurants'!$B$2:$B$151,A33,'Restaurants'!$E$2:$E$151,"Temporarily closed")+COUNTIFS('Restaurants'!$B$2:$B$151,A33,'Restaurants'!$E$2:$E$151,"Status conflict")+COUNTIFS('Restaurants'!$B$2:$B$151,A33,'Restaurants'!$E$2:$E$151,"Location conflict")+COUNTIFS('Restaurants'!$B$2:$B$151,A33,'Restaurants'!$E$2:$E$151,"Historical lead")</x:f>
        <x:v>0</x:v>
      </x:c>
      <x:c r="G33" s="30" t="n">
        <x:f>SUM(C33:F33)</x:f>
        <x:v>0</x:v>
      </x:c>
      <x:c r="H33" s="30" t="str">
        <x:f>IF(G33=0,"No named public restaurant verified","Listings found")</x:f>
        <x:v>No named public restaurant verified</x:v>
      </x:c>
      <x:c r="I33" s="30" t="str">
        <x:v>No named current restaurant securely verified in exact spelling/Arabic searches.</x:v>
      </x:c>
    </x:row>
    <x:row r="34">
      <x:c r="A34" s="30" t="str">
        <x:v>Sir Al-Gharbiyeh</x:v>
      </x:c>
      <x:c r="B34" s="30" t="str">
        <x:v>Sair / Sir Al-Gharbiyeh</x:v>
      </x:c>
      <x:c r="C34" s="30" t="n">
        <x:f>COUNTIFS('Restaurants'!$B$2:$B$151,A34,'Restaurants'!$E$2:$E$151,"Active - verified")</x:f>
        <x:v>0</x:v>
      </x:c>
      <x:c r="D34" s="30" t="n">
        <x:f>COUNTIFS('Restaurants'!$B$2:$B$151,A34,'Restaurants'!$E$2:$E$151,"Listed current")</x:f>
        <x:v>0</x:v>
      </x:c>
      <x:c r="E34" s="30" t="n">
        <x:f>COUNTIFS('Restaurants'!$B$2:$B$151,A34,'Restaurants'!$E$2:$E$151,"Needs verification")</x:f>
        <x:v>0</x:v>
      </x:c>
      <x:c r="F34" s="30" t="n">
        <x:f>COUNTIFS('Restaurants'!$B$2:$B$151,A34,'Restaurants'!$E$2:$E$151,"Temporarily closed")+COUNTIFS('Restaurants'!$B$2:$B$151,A34,'Restaurants'!$E$2:$E$151,"Status conflict")+COUNTIFS('Restaurants'!$B$2:$B$151,A34,'Restaurants'!$E$2:$E$151,"Location conflict")+COUNTIFS('Restaurants'!$B$2:$B$151,A34,'Restaurants'!$E$2:$E$151,"Historical lead")</x:f>
        <x:v>0</x:v>
      </x:c>
      <x:c r="G34" s="30" t="n">
        <x:f>SUM(C34:F34)</x:f>
        <x:v>0</x:v>
      </x:c>
      <x:c r="H34" s="30" t="str">
        <x:f>IF(G34=0,"No named public restaurant verified","Listings found")</x:f>
        <x:v>No named public restaurant verified</x:v>
      </x:c>
      <x:c r="I34" s="30" t="str">
        <x:v>No named current restaurant securely verified; similarly named northern localities were excluded.</x:v>
      </x:c>
    </x:row>
    <x:row r="35">
      <x:c r="A35" s="30" t="str">
        <x:v>Yohmor Al-Shaqif</x:v>
      </x:c>
      <x:c r="B35" s="30" t="str">
        <x:v>Yohmor</x:v>
      </x:c>
      <x:c r="C35" s="30" t="n">
        <x:f>COUNTIFS('Restaurants'!$B$2:$B$151,A35,'Restaurants'!$E$2:$E$151,"Active - verified")</x:f>
        <x:v>0</x:v>
      </x:c>
      <x:c r="D35" s="30" t="n">
        <x:f>COUNTIFS('Restaurants'!$B$2:$B$151,A35,'Restaurants'!$E$2:$E$151,"Listed current")</x:f>
        <x:v>0</x:v>
      </x:c>
      <x:c r="E35" s="30" t="n">
        <x:f>COUNTIFS('Restaurants'!$B$2:$B$151,A35,'Restaurants'!$E$2:$E$151,"Needs verification")</x:f>
        <x:v>0</x:v>
      </x:c>
      <x:c r="F35" s="30" t="n">
        <x:f>COUNTIFS('Restaurants'!$B$2:$B$151,A35,'Restaurants'!$E$2:$E$151,"Temporarily closed")+COUNTIFS('Restaurants'!$B$2:$B$151,A35,'Restaurants'!$E$2:$E$151,"Status conflict")+COUNTIFS('Restaurants'!$B$2:$B$151,A35,'Restaurants'!$E$2:$E$151,"Location conflict")+COUNTIFS('Restaurants'!$B$2:$B$151,A35,'Restaurants'!$E$2:$E$151,"Historical lead")</x:f>
        <x:v>0</x:v>
      </x:c>
      <x:c r="G35" s="30" t="n">
        <x:f>SUM(C35:F35)</x:f>
        <x:v>0</x:v>
      </x:c>
      <x:c r="H35" s="30" t="str">
        <x:f>IF(G35=0,"No named public restaurant verified","Listings found")</x:f>
        <x:v>No named public restaurant verified</x:v>
      </x:c>
      <x:c r="I35" s="30" t="str">
        <x:v>No named current restaurant securely verified in this pass.</x:v>
      </x:c>
    </x:row>
    <x:row r="36">
      <x:c r="A36" s="30" t="str">
        <x:v>Zawtar Al-Sharqiya</x:v>
      </x:c>
      <x:c r="B36" s="30" t="str">
        <x:v>Zaoutar ech Charqiyeh</x:v>
      </x:c>
      <x:c r="C36" s="30" t="n">
        <x:f>COUNTIFS('Restaurants'!$B$2:$B$151,A36,'Restaurants'!$E$2:$E$151,"Active - verified")</x:f>
        <x:v>0</x:v>
      </x:c>
      <x:c r="D36" s="30" t="n">
        <x:f>COUNTIFS('Restaurants'!$B$2:$B$151,A36,'Restaurants'!$E$2:$E$151,"Listed current")</x:f>
        <x:v>0</x:v>
      </x:c>
      <x:c r="E36" s="30" t="n">
        <x:f>COUNTIFS('Restaurants'!$B$2:$B$151,A36,'Restaurants'!$E$2:$E$151,"Needs verification")</x:f>
        <x:v>0</x:v>
      </x:c>
      <x:c r="F36" s="30" t="n">
        <x:f>COUNTIFS('Restaurants'!$B$2:$B$151,A36,'Restaurants'!$E$2:$E$151,"Temporarily closed")+COUNTIFS('Restaurants'!$B$2:$B$151,A36,'Restaurants'!$E$2:$E$151,"Status conflict")+COUNTIFS('Restaurants'!$B$2:$B$151,A36,'Restaurants'!$E$2:$E$151,"Location conflict")+COUNTIFS('Restaurants'!$B$2:$B$151,A36,'Restaurants'!$E$2:$E$151,"Historical lead")</x:f>
        <x:v>0</x:v>
      </x:c>
      <x:c r="G36" s="30" t="n">
        <x:f>SUM(C36:F36)</x:f>
        <x:v>0</x:v>
      </x:c>
      <x:c r="H36" s="30" t="str">
        <x:f>IF(G36=0,"No named public restaurant verified","Listings found")</x:f>
        <x:v>No named public restaurant verified</x:v>
      </x:c>
      <x:c r="I36" s="30" t="str">
        <x:v>No named current restaurant securely verified; nearby Qsaybeh/Kfar Sir results were excluded.</x:v>
      </x:c>
    </x:row>
    <x:row r="37">
      <x:c r="A37" s="30" t="str">
        <x:v>Zawtar Al-Gharbiya</x:v>
      </x:c>
      <x:c r="B37" s="30" t="str">
        <x:v>Zaoutar el Gharbiyeh</x:v>
      </x:c>
      <x:c r="C37" s="30" t="n">
        <x:f>COUNTIFS('Restaurants'!$B$2:$B$151,A37,'Restaurants'!$E$2:$E$151,"Active - verified")</x:f>
        <x:v>0</x:v>
      </x:c>
      <x:c r="D37" s="30" t="n">
        <x:f>COUNTIFS('Restaurants'!$B$2:$B$151,A37,'Restaurants'!$E$2:$E$151,"Listed current")</x:f>
        <x:v>0</x:v>
      </x:c>
      <x:c r="E37" s="30" t="n">
        <x:f>COUNTIFS('Restaurants'!$B$2:$B$151,A37,'Restaurants'!$E$2:$E$151,"Needs verification")</x:f>
        <x:v>0</x:v>
      </x:c>
      <x:c r="F37" s="30" t="n">
        <x:f>COUNTIFS('Restaurants'!$B$2:$B$151,A37,'Restaurants'!$E$2:$E$151,"Temporarily closed")+COUNTIFS('Restaurants'!$B$2:$B$151,A37,'Restaurants'!$E$2:$E$151,"Status conflict")+COUNTIFS('Restaurants'!$B$2:$B$151,A37,'Restaurants'!$E$2:$E$151,"Location conflict")+COUNTIFS('Restaurants'!$B$2:$B$151,A37,'Restaurants'!$E$2:$E$151,"Historical lead")</x:f>
        <x:v>0</x:v>
      </x:c>
      <x:c r="G37" s="30" t="n">
        <x:f>SUM(C37:F37)</x:f>
        <x:v>0</x:v>
      </x:c>
      <x:c r="H37" s="30" t="str">
        <x:f>IF(G37=0,"No named public restaurant verified","Listings found")</x:f>
        <x:v>No named public restaurant verified</x:v>
      </x:c>
      <x:c r="I37" s="30" t="str">
        <x:v>No named current restaurant securely verified in exact locality searches.</x:v>
      </x:c>
    </x:row>
    <x:row r="38">
      <x:c r="A38" s="30" t="str">
        <x:v>Zibdeen</x:v>
      </x:c>
      <x:c r="B38" s="30" t="str">
        <x:v>Zebdine</x:v>
      </x:c>
      <x:c r="C38" s="30" t="n">
        <x:f>COUNTIFS('Restaurants'!$B$2:$B$151,A38,'Restaurants'!$E$2:$E$151,"Active - verified")</x:f>
        <x:v>1</x:v>
      </x:c>
      <x:c r="D38" s="30" t="n">
        <x:f>COUNTIFS('Restaurants'!$B$2:$B$151,A38,'Restaurants'!$E$2:$E$151,"Listed current")</x:f>
        <x:v>3</x:v>
      </x:c>
      <x:c r="E38" s="30" t="n">
        <x:f>COUNTIFS('Restaurants'!$B$2:$B$151,A38,'Restaurants'!$E$2:$E$151,"Needs verification")</x:f>
        <x:v>1</x:v>
      </x:c>
      <x:c r="F38" s="30" t="n">
        <x:f>COUNTIFS('Restaurants'!$B$2:$B$151,A38,'Restaurants'!$E$2:$E$151,"Temporarily closed")+COUNTIFS('Restaurants'!$B$2:$B$151,A38,'Restaurants'!$E$2:$E$151,"Status conflict")+COUNTIFS('Restaurants'!$B$2:$B$151,A38,'Restaurants'!$E$2:$E$151,"Location conflict")+COUNTIFS('Restaurants'!$B$2:$B$151,A38,'Restaurants'!$E$2:$E$151,"Historical lead")</x:f>
        <x:v>0</x:v>
      </x:c>
      <x:c r="G38" s="30" t="n">
        <x:f>SUM(C38:F38)</x:f>
        <x:v>5</x:v>
      </x:c>
      <x:c r="H38" s="30" t="str">
        <x:f>IF(G38=0,"No named public restaurant verified","Listings found")</x:f>
        <x:v>Listings found</x:v>
      </x:c>
      <x:c r="I38" s="30" t="str"/>
    </x:row>
    <x:row r="39">
      <x:c r="A39" s="30" t="str">
        <x:v>Zefta</x:v>
      </x:c>
      <x:c r="B39" s="30" t="str">
        <x:v>Zefta</x:v>
      </x:c>
      <x:c r="C39" s="30" t="n">
        <x:f>COUNTIFS('Restaurants'!$B$2:$B$151,A39,'Restaurants'!$E$2:$E$151,"Active - verified")</x:f>
        <x:v>4</x:v>
      </x:c>
      <x:c r="D39" s="30" t="n">
        <x:f>COUNTIFS('Restaurants'!$B$2:$B$151,A39,'Restaurants'!$E$2:$E$151,"Listed current")</x:f>
        <x:v>1</x:v>
      </x:c>
      <x:c r="E39" s="30" t="n">
        <x:f>COUNTIFS('Restaurants'!$B$2:$B$151,A39,'Restaurants'!$E$2:$E$151,"Needs verification")</x:f>
        <x:v>0</x:v>
      </x:c>
      <x:c r="F39" s="30" t="n">
        <x:f>COUNTIFS('Restaurants'!$B$2:$B$151,A39,'Restaurants'!$E$2:$E$151,"Temporarily closed")+COUNTIFS('Restaurants'!$B$2:$B$151,A39,'Restaurants'!$E$2:$E$151,"Status conflict")+COUNTIFS('Restaurants'!$B$2:$B$151,A39,'Restaurants'!$E$2:$E$151,"Location conflict")+COUNTIFS('Restaurants'!$B$2:$B$151,A39,'Restaurants'!$E$2:$E$151,"Historical lead")</x:f>
        <x:v>0</x:v>
      </x:c>
      <x:c r="G39" s="30" t="n">
        <x:f>SUM(C39:F39)</x:f>
        <x:v>5</x:v>
      </x:c>
      <x:c r="H39" s="30" t="str">
        <x:f>IF(G39=0,"No named public restaurant verified","Listings found")</x:f>
        <x:v>Listings found</x:v>
      </x:c>
      <x:c r="I39" s="30" t="str"/>
    </x:row>
    <x:row r="40">
      <x:c r="A40" s="30" t="str">
        <x:v>Ezza</x:v>
      </x:c>
      <x:c r="B40" s="30" t="str">
        <x:v>Aazze / Ezza</x:v>
      </x:c>
      <x:c r="C40" s="30" t="n">
        <x:f>COUNTIFS('Restaurants'!$B$2:$B$151,A40,'Restaurants'!$E$2:$E$151,"Active - verified")</x:f>
        <x:v>0</x:v>
      </x:c>
      <x:c r="D40" s="30" t="n">
        <x:f>COUNTIFS('Restaurants'!$B$2:$B$151,A40,'Restaurants'!$E$2:$E$151,"Listed current")</x:f>
        <x:v>0</x:v>
      </x:c>
      <x:c r="E40" s="30" t="n">
        <x:f>COUNTIFS('Restaurants'!$B$2:$B$151,A40,'Restaurants'!$E$2:$E$151,"Needs verification")</x:f>
        <x:v>0</x:v>
      </x:c>
      <x:c r="F40" s="30" t="n">
        <x:f>COUNTIFS('Restaurants'!$B$2:$B$151,A40,'Restaurants'!$E$2:$E$151,"Temporarily closed")+COUNTIFS('Restaurants'!$B$2:$B$151,A40,'Restaurants'!$E$2:$E$151,"Status conflict")+COUNTIFS('Restaurants'!$B$2:$B$151,A40,'Restaurants'!$E$2:$E$151,"Location conflict")+COUNTIFS('Restaurants'!$B$2:$B$151,A40,'Restaurants'!$E$2:$E$151,"Historical lead")</x:f>
        <x:v>0</x:v>
      </x:c>
      <x:c r="G40" s="30" t="n">
        <x:f>SUM(C40:F40)</x:f>
        <x:v>0</x:v>
      </x:c>
      <x:c r="H40" s="30" t="str">
        <x:f>IF(G40=0,"No named public restaurant verified","Listings found")</x:f>
        <x:v>No named public restaurant verified</x:v>
      </x:c>
      <x:c r="I40" s="30" t="str">
        <x:v>No named current restaurant securely verified in exact Aazze/Ezza searches.</x:v>
      </x:c>
    </x:row>
    <x:row r="41">
      <x:c r="A41" s="30" t="str">
        <x:v>Nabatieh Al-Tahta</x:v>
      </x:c>
      <x:c r="B41" s="30" t="str">
        <x:v>Nabatieh el Tahta</x:v>
      </x:c>
      <x:c r="C41" s="30" t="n">
        <x:f>COUNTIFS('Restaurants'!$B$2:$B$151,A41,'Restaurants'!$E$2:$E$151,"Active - verified")</x:f>
        <x:v>1</x:v>
      </x:c>
      <x:c r="D41" s="30" t="n">
        <x:f>COUNTIFS('Restaurants'!$B$2:$B$151,A41,'Restaurants'!$E$2:$E$151,"Listed current")</x:f>
        <x:v>2</x:v>
      </x:c>
      <x:c r="E41" s="30" t="n">
        <x:f>COUNTIFS('Restaurants'!$B$2:$B$151,A41,'Restaurants'!$E$2:$E$151,"Needs verification")</x:f>
        <x:v>0</x:v>
      </x:c>
      <x:c r="F41" s="30" t="n">
        <x:f>COUNTIFS('Restaurants'!$B$2:$B$151,A41,'Restaurants'!$E$2:$E$151,"Temporarily closed")+COUNTIFS('Restaurants'!$B$2:$B$151,A41,'Restaurants'!$E$2:$E$151,"Status conflict")+COUNTIFS('Restaurants'!$B$2:$B$151,A41,'Restaurants'!$E$2:$E$151,"Location conflict")+COUNTIFS('Restaurants'!$B$2:$B$151,A41,'Restaurants'!$E$2:$E$151,"Historical lead")</x:f>
        <x:v>1</x:v>
      </x:c>
      <x:c r="G41" s="30" t="n">
        <x:f>SUM(C41:F41)</x:f>
        <x:v>4</x:v>
      </x:c>
      <x:c r="H41" s="30" t="str">
        <x:f>IF(G41=0,"No named public restaurant verified","Listings found")</x:f>
        <x:v>Listings found</x:v>
      </x:c>
      <x:c r="I41" s="30" t="str"/>
    </x:row>
  </x:sheetData>
  <x:conditionalFormatting sqref="A2:I41">
    <x:cfRule type="expression" dxfId="5" priority="1">
      <x:formula>G2=0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d25c5903ae42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32" hidden="0" customWidth="1"/>
    <x:col min="4" max="4" width="24" hidden="0" customWidth="1"/>
    <x:col min="5" max="5" width="22" hidden="0" customWidth="1"/>
    <x:col min="6" max="6" width="38" hidden="0" customWidth="1"/>
    <x:col min="7" max="7" width="18" hidden="0" customWidth="1"/>
    <x:col min="8" max="8" width="10" hidden="0" customWidth="1"/>
    <x:col min="9" max="9" width="10" hidden="0" customWidth="1"/>
    <x:col min="10" max="10" width="26" hidden="0" customWidth="1"/>
    <x:col min="11" max="11" width="12" hidden="0" customWidth="1"/>
    <x:col min="12" max="12" width="24" hidden="0" customWidth="1"/>
    <x:col min="13" max="13" width="31" hidden="0" customWidth="1"/>
    <x:col min="14" max="14" width="42" hidden="0" customWidth="1"/>
    <x:col min="15" max="15" width="42" hidden="0" customWidth="1"/>
    <x:col min="16" max="16" width="52" hidden="0" customWidth="1"/>
    <x:col min="17" max="17" width="14" hidden="0" customWidth="1"/>
  </x:cols>
  <x:sheetData>
    <x:row r="1" ht="36" customHeight="1">
      <x:c r="A1" s="26" t="str">
        <x:v>ID</x:v>
      </x:c>
      <x:c r="B1" s="26" t="str">
        <x:v>Canonical Locality</x:v>
      </x:c>
      <x:c r="C1" s="26" t="str">
        <x:v>Business Name</x:v>
      </x:c>
      <x:c r="D1" s="26" t="str">
        <x:v>Venue Type</x:v>
      </x:c>
      <x:c r="E1" s="26" t="str">
        <x:v>Status</x:v>
      </x:c>
      <x:c r="F1" s="26" t="str">
        <x:v>Address / Area</x:v>
      </x:c>
      <x:c r="G1" s="26" t="str">
        <x:v>Phone</x:v>
      </x:c>
      <x:c r="H1" s="26" t="str">
        <x:v>Rating</x:v>
      </x:c>
      <x:c r="I1" s="26" t="str">
        <x:v>Reviews</x:v>
      </x:c>
      <x:c r="J1" s="26" t="str">
        <x:v>Hours</x:v>
      </x:c>
      <x:c r="K1" s="26" t="str">
        <x:v>Confidence</x:v>
      </x:c>
      <x:c r="L1" s="26" t="str">
        <x:v>Locality Match</x:v>
      </x:c>
      <x:c r="M1" s="26" t="str">
        <x:v>Evidence Source</x:v>
      </x:c>
      <x:c r="N1" s="26" t="str">
        <x:v>Source URL</x:v>
      </x:c>
      <x:c r="O1" s="26" t="str">
        <x:v>Map / Search Link</x:v>
      </x:c>
      <x:c r="P1" s="26" t="str">
        <x:v>Notes</x:v>
      </x:c>
      <x:c r="Q1" s="26" t="str">
        <x:v>Last Checked</x:v>
      </x:c>
    </x:row>
    <x:row r="2">
      <x:c r="A2" s="30" t="n">
        <x:v>1</x:v>
      </x:c>
      <x:c r="B2" s="30" t="str">
        <x:v>Adchit</x:v>
      </x:c>
      <x:c r="C2" s="30" t="str">
        <x:v>فروج العياش</x:v>
      </x:c>
      <x:c r="D2" s="30" t="str">
        <x:v>Chicken / grills restaurant</x:v>
      </x:c>
      <x:c r="E2" s="30" t="str">
        <x:v>Active - verified</x:v>
      </x:c>
      <x:c r="F2" s="30" t="str">
        <x:v>8CWC+49X, Aadchit El Chqif</x:v>
      </x:c>
      <x:c r="G2" s="30" t="str">
        <x:v>+961 3 135 208</x:v>
      </x:c>
      <x:c r="H2" s="32" t="n">
        <x:v>4.5</x:v>
      </x:c>
      <x:c r="I2" s="34" t="n">
        <x:v>240</x:v>
      </x:c>
      <x:c r="J2" s="30" t="str">
        <x:v>Approx. 11:30–22:45 daily</x:v>
      </x:c>
      <x:c r="K2" s="30" t="str">
        <x:v>High</x:v>
      </x:c>
      <x:c r="L2" s="30" t="str">
        <x:v>Exact address</x:v>
      </x:c>
      <x:c r="M2" s="30" t="str">
        <x:v>Current local-business listing</x:v>
      </x:c>
      <x:c r="N2" s="30" t="str">
        <x:v>https://www.google.com/maps/search/?api=1&amp;query=%D9%81%D8%B1%D9%88%D8%AC+%D8%A7%D9%84%D8%B9%D9%8A%D8%A7%D8%B4%2C+Aadchit+El+Chqif%2C+Lebanon</x:v>
      </x:c>
      <x:c r="O2" s="30" t="str">
        <x:v>https://www.google.com/maps/search/?api=1&amp;query=%D9%81%D8%B1%D9%88%D8%AC+%D8%A7%D9%84%D8%B9%D9%8A%D8%A7%D8%B4%2C+Adchit%2C+Lebanon</x:v>
      </x:c>
      <x:c r="P2" s="30" t="str"/>
      <x:c r="Q2" s="30" t="str">
        <x:v>2026-09-07</x:v>
      </x:c>
    </x:row>
    <x:row r="3">
      <x:c r="A3" s="30" t="n">
        <x:v>2</x:v>
      </x:c>
      <x:c r="B3" s="30" t="str">
        <x:v>Adchit</x:v>
      </x:c>
      <x:c r="C3" s="30" t="str">
        <x:v>مطعم ومشاوي الشحوري</x:v>
      </x:c>
      <x:c r="D3" s="30" t="str">
        <x:v>Restaurant / grills</x:v>
      </x:c>
      <x:c r="E3" s="30" t="str">
        <x:v>Needs verification</x:v>
      </x:c>
      <x:c r="F3" s="30" t="str">
        <x:v>8CX8+39X, Aadchit El Chqif</x:v>
      </x:c>
      <x:c r="G3" s="30" t="str">
        <x:v>+961 3 053 878</x:v>
      </x:c>
      <x:c r="H3" s="32" t="n">
        <x:v>5</x:v>
      </x:c>
      <x:c r="I3" s="34" t="n">
        <x:v>3</x:v>
      </x:c>
      <x:c r="J3" s="30" t="str"/>
      <x:c r="K3" s="30" t="str">
        <x:v>Medium</x:v>
      </x:c>
      <x:c r="L3" s="30" t="str">
        <x:v>Exact address from prior map discovery</x:v>
      </x:c>
      <x:c r="M3" s="30" t="str">
        <x:v>Local-business discovery</x:v>
      </x:c>
      <x:c r="N3" s="30" t="str">
        <x:v>https://www.google.com/maps/search/?api=1&amp;query=%D9%85%D8%B7%D8%B9%D9%85+%D9%88%D9%85%D8%B4%D8%A7%D9%88%D9%8A+%D8%A7%D9%84%D8%B4%D8%AD%D9%88%D8%B1%D9%8A%2C+Aadchit+El+Chqif%2C+Lebanon</x:v>
      </x:c>
      <x:c r="O3" s="30" t="str">
        <x:v>https://www.google.com/maps/search/?api=1&amp;query=%D9%85%D8%B7%D8%B9%D9%85+%D9%88%D9%85%D8%B4%D8%A7%D9%88%D9%8A+%D8%A7%D9%84%D8%B4%D8%AD%D9%88%D8%B1%D9%8A%2C+Adchit%2C+Lebanon</x:v>
      </x:c>
      <x:c r="P3" s="30" t="str">
        <x:v>Needs a fresh second-source confirmation.</x:v>
      </x:c>
      <x:c r="Q3" s="30" t="str">
        <x:v>2026-09-07</x:v>
      </x:c>
    </x:row>
    <x:row r="4">
      <x:c r="A4" s="30" t="n">
        <x:v>3</x:v>
      </x:c>
      <x:c r="B4" s="30" t="str">
        <x:v>Adchit</x:v>
      </x:c>
      <x:c r="C4" s="30" t="str">
        <x:v>مطعم ليلى</x:v>
      </x:c>
      <x:c r="D4" s="30" t="str">
        <x:v>Restaurant</x:v>
      </x:c>
      <x:c r="E4" s="30" t="str">
        <x:v>Listed current</x:v>
      </x:c>
      <x:c r="F4" s="30" t="str">
        <x:v>Adchit Main Road</x:v>
      </x:c>
      <x:c r="G4" s="30" t="str">
        <x:v>+961 76 862 950</x:v>
      </x:c>
      <x:c r="H4" s="32"/>
      <x:c r="I4" s="34"/>
      <x:c r="J4" s="30" t="str"/>
      <x:c r="K4" s="30" t="str">
        <x:v>Medium</x:v>
      </x:c>
      <x:c r="L4" s="30" t="str">
        <x:v>Exact village address</x:v>
      </x:c>
      <x:c r="M4" s="30" t="str">
        <x:v>Local business directory</x:v>
      </x:c>
      <x:c r="N4" s="30" t="str">
        <x:v>https://www.bizmideast.com/LB/%D9%85%D8%B7%D8%B9%D9%85-%D9%84%D9%8A%D9%84%D9%89-76-862-950</x:v>
      </x:c>
      <x:c r="O4" s="30" t="str">
        <x:v>https://www.google.com/maps/search/?api=1&amp;query=%D9%85%D8%B7%D8%B9%D9%85+%D9%84%D9%8A%D9%84%D9%89%2C+Adchit%2C+Lebanon</x:v>
      </x:c>
      <x:c r="P4" s="30" t="str"/>
      <x:c r="Q4" s="30" t="str">
        <x:v>2026-09-07</x:v>
      </x:c>
    </x:row>
    <x:row r="5">
      <x:c r="A5" s="30" t="n">
        <x:v>4</x:v>
      </x:c>
      <x:c r="B5" s="30" t="str">
        <x:v>Adchit</x:v>
      </x:c>
      <x:c r="C5" s="30" t="str">
        <x:v>Ahmad Al-Abdalla — original Adchit restaurant</x:v>
      </x:c>
      <x:c r="D5" s="30" t="str">
        <x:v>Chicken restaurant</x:v>
      </x:c>
      <x:c r="E5" s="30" t="str">
        <x:v>Historical lead</x:v>
      </x:c>
      <x:c r="F5" s="30" t="str">
        <x:v>Adchit, Nabatieh</x:v>
      </x:c>
      <x:c r="G5" s="30" t="str"/>
      <x:c r="H5" s="32"/>
      <x:c r="I5" s="34"/>
      <x:c r="J5" s="30" t="str"/>
      <x:c r="K5" s="30" t="str">
        <x:v>High</x:v>
      </x:c>
      <x:c r="L5" s="30" t="str">
        <x:v>Historical origin only</x:v>
      </x:c>
      <x:c r="M5" s="30" t="str">
        <x:v>Official Ahmad Al-Abdalla site</x:v>
      </x:c>
      <x:c r="N5" s="30" t="str">
        <x:v>https://ahmadalabdalla.com/english/1/</x:v>
      </x:c>
      <x:c r="O5" s="30" t="str">
        <x:v>https://www.google.com/maps/search/?api=1&amp;query=Ahmad+Al-Abdalla+%E2%80%94+original+Adchit+restaurant%2C+Adchit%2C+Lebanon</x:v>
      </x:c>
      <x:c r="P5" s="30" t="str">
        <x:v>Official site says the business began in Adchit in 1987; current official Lebanon branches do not list Adchit.</x:v>
      </x:c>
      <x:c r="Q5" s="30" t="str">
        <x:v>2026-09-07</x:v>
      </x:c>
    </x:row>
    <x:row r="6">
      <x:c r="A6" s="30" t="n">
        <x:v>5</x:v>
      </x:c>
      <x:c r="B6" s="30" t="str">
        <x:v>Ain Qana</x:v>
      </x:c>
      <x:c r="C6" s="30" t="str">
        <x:v>Hussein Food&amp;Fire House</x:v>
      </x:c>
      <x:c r="D6" s="30" t="str">
        <x:v>Barbecue restaurant</x:v>
      </x:c>
      <x:c r="E6" s="30" t="str">
        <x:v>Active - verified</x:v>
      </x:c>
      <x:c r="F6" s="30" t="str">
        <x:v>FGC6+P3Q, Ain Qana</x:v>
      </x:c>
      <x:c r="G6" s="30" t="str"/>
      <x:c r="H6" s="32"/>
      <x:c r="I6" s="34"/>
      <x:c r="J6" s="30" t="str"/>
      <x:c r="K6" s="30" t="str">
        <x:v>High</x:v>
      </x:c>
      <x:c r="L6" s="30" t="str">
        <x:v>Exact address</x:v>
      </x:c>
      <x:c r="M6" s="30" t="str">
        <x:v>Current local-business listing</x:v>
      </x:c>
      <x:c r="N6" s="30" t="str">
        <x:v>https://www.google.com/maps/search/?api=1&amp;query=Hussein+Food%26Fire+House%2C+Ain+Qana%2C+Lebanon</x:v>
      </x:c>
      <x:c r="O6" s="30" t="str">
        <x:v>https://www.google.com/maps/search/?api=1&amp;query=Hussein+Food%26Fire+House%2C+Ain+Qana%2C+Lebanon</x:v>
      </x:c>
      <x:c r="P6" s="30" t="str"/>
      <x:c r="Q6" s="30" t="str">
        <x:v>2026-09-07</x:v>
      </x:c>
    </x:row>
    <x:row r="7">
      <x:c r="A7" s="30" t="n">
        <x:v>6</x:v>
      </x:c>
      <x:c r="B7" s="30" t="str">
        <x:v>Ain Qana</x:v>
      </x:c>
      <x:c r="C7" s="30" t="str">
        <x:v>Snack marwan</x:v>
      </x:c>
      <x:c r="D7" s="30" t="str">
        <x:v>Snack bar / fast food</x:v>
      </x:c>
      <x:c r="E7" s="30" t="str">
        <x:v>Active - verified</x:v>
      </x:c>
      <x:c r="F7" s="30" t="str">
        <x:v>FG86+6H9, Ain Qana</x:v>
      </x:c>
      <x:c r="G7" s="30" t="str"/>
      <x:c r="H7" s="32"/>
      <x:c r="I7" s="34"/>
      <x:c r="J7" s="30" t="str"/>
      <x:c r="K7" s="30" t="str">
        <x:v>High</x:v>
      </x:c>
      <x:c r="L7" s="30" t="str">
        <x:v>Exact address</x:v>
      </x:c>
      <x:c r="M7" s="30" t="str">
        <x:v>Current local-business listing</x:v>
      </x:c>
      <x:c r="N7" s="30" t="str">
        <x:v>https://www.google.com/maps/search/?api=1&amp;query=Snack+marwan%2C+Ain+Qana%2C+Lebanon</x:v>
      </x:c>
      <x:c r="O7" s="30" t="str">
        <x:v>https://www.google.com/maps/search/?api=1&amp;query=Snack+marwan%2C+Ain+Qana%2C+Lebanon</x:v>
      </x:c>
      <x:c r="P7" s="30" t="str"/>
      <x:c r="Q7" s="30" t="str">
        <x:v>2026-09-07</x:v>
      </x:c>
    </x:row>
    <x:row r="8">
      <x:c r="A8" s="30" t="n">
        <x:v>7</x:v>
      </x:c>
      <x:c r="B8" s="30" t="str">
        <x:v>Ansar</x:v>
      </x:c>
      <x:c r="C8" s="30" t="str">
        <x:v>Abou Ali - Restaurant</x:v>
      </x:c>
      <x:c r="D8" s="30" t="str">
        <x:v>Restaurant</x:v>
      </x:c>
      <x:c r="E8" s="30" t="str">
        <x:v>Active - verified</x:v>
      </x:c>
      <x:c r="F8" s="30" t="str">
        <x:v>99G6+H63, Insar</x:v>
      </x:c>
      <x:c r="G8" s="30" t="str">
        <x:v>+961 7 500 068</x:v>
      </x:c>
      <x:c r="H8" s="32" t="n">
        <x:v>4.3</x:v>
      </x:c>
      <x:c r="I8" s="34" t="n">
        <x:v>123</x:v>
      </x:c>
      <x:c r="J8" s="30" t="str">
        <x:v>Approx. 12:00–00:00</x:v>
      </x:c>
      <x:c r="K8" s="30" t="str">
        <x:v>High</x:v>
      </x:c>
      <x:c r="L8" s="30" t="str">
        <x:v>Exact Insar/Ansar address</x:v>
      </x:c>
      <x:c r="M8" s="30" t="str">
        <x:v>Current local-business listing</x:v>
      </x:c>
      <x:c r="N8" s="30" t="str">
        <x:v>https://www.google.com/maps/search/?api=1&amp;query=Abou+Ali+-+Restaurant%2C+Ansar%2C+Lebanon</x:v>
      </x:c>
      <x:c r="O8" s="30" t="str">
        <x:v>https://www.google.com/maps/search/?api=1&amp;query=Abou+Ali+-+Restaurant%2C+Ansar%2C+Lebanon</x:v>
      </x:c>
      <x:c r="P8" s="30" t="str"/>
      <x:c r="Q8" s="30" t="str">
        <x:v>2026-09-07</x:v>
      </x:c>
    </x:row>
    <x:row r="9">
      <x:c r="A9" s="30" t="n">
        <x:v>8</x:v>
      </x:c>
      <x:c r="B9" s="30" t="str">
        <x:v>Ansar</x:v>
      </x:c>
      <x:c r="C9" s="30" t="str">
        <x:v>ALAMIR Restaurant</x:v>
      </x:c>
      <x:c r="D9" s="30" t="str">
        <x:v>Restaurant</x:v>
      </x:c>
      <x:c r="E9" s="30" t="str">
        <x:v>Listed current</x:v>
      </x:c>
      <x:c r="F9" s="30" t="str">
        <x:v>Ansar Main Road</x:v>
      </x:c>
      <x:c r="G9" s="30" t="str">
        <x:v>+961 7 501 900</x:v>
      </x:c>
      <x:c r="H9" s="32"/>
      <x:c r="I9" s="34"/>
      <x:c r="J9" s="30" t="str"/>
      <x:c r="K9" s="30" t="str">
        <x:v>Medium</x:v>
      </x:c>
      <x:c r="L9" s="30" t="str">
        <x:v>Exact Ansar venue</x:v>
      </x:c>
      <x:c r="M9" s="30" t="str">
        <x:v>Al Amir Resort operator website</x:v>
      </x:c>
      <x:c r="N9" s="30" t="str">
        <x:v>https://www.alamir-resort.com/pages.php?CID=UmVzdGF1cmFudHM%3D&amp;id=NA%3D%3D&amp;lan=En</x:v>
      </x:c>
      <x:c r="O9" s="30" t="str">
        <x:v>https://www.google.com/maps/search/?api=1&amp;query=ALAMIR+Restaurant%2C+Ansar%2C+Lebanon</x:v>
      </x:c>
      <x:c r="P9" s="30" t="str">
        <x:v>Operator page also lists alternate contact numbers.</x:v>
      </x:c>
      <x:c r="Q9" s="30" t="str">
        <x:v>2026-09-07</x:v>
      </x:c>
    </x:row>
    <x:row r="10">
      <x:c r="A10" s="30" t="n">
        <x:v>9</x:v>
      </x:c>
      <x:c r="B10" s="30" t="str">
        <x:v>Ansar</x:v>
      </x:c>
      <x:c r="C10" s="30" t="str">
        <x:v>Black Pearl Catering</x:v>
      </x:c>
      <x:c r="D10" s="30" t="str">
        <x:v>Catering / restaurant-type venue</x:v>
      </x:c>
      <x:c r="E10" s="30" t="str">
        <x:v>Temporarily closed</x:v>
      </x:c>
      <x:c r="F10" s="30" t="str">
        <x:v>Ansar Main Road</x:v>
      </x:c>
      <x:c r="G10" s="30" t="str">
        <x:v>+961 7 501 333</x:v>
      </x:c>
      <x:c r="H10" s="32" t="n">
        <x:v>4.5</x:v>
      </x:c>
      <x:c r="I10" s="34" t="n">
        <x:v>77</x:v>
      </x:c>
      <x:c r="J10" s="30" t="str"/>
      <x:c r="K10" s="30" t="str">
        <x:v>Medium</x:v>
      </x:c>
      <x:c r="L10" s="30" t="str">
        <x:v>Exact Ansar address</x:v>
      </x:c>
      <x:c r="M10" s="30" t="str">
        <x:v>Current local-business listing + local directory</x:v>
      </x:c>
      <x:c r="N10" s="30" t="str">
        <x:v>https://www.google.com/maps/search/?api=1&amp;query=Black+Pearl+Catering%2C+Ansar%2C+Lebanon</x:v>
      </x:c>
      <x:c r="O10" s="30" t="str">
        <x:v>https://www.google.com/maps/search/?api=1&amp;query=Black+Pearl+Catering%2C+Ansar%2C+Lebanon</x:v>
      </x:c>
      <x:c r="P10" s="30" t="str">
        <x:v>Current public listing indicates temporarily closed.</x:v>
      </x:c>
      <x:c r="Q10" s="30" t="str">
        <x:v>2026-09-07</x:v>
      </x:c>
    </x:row>
    <x:row r="11">
      <x:c r="A11" s="30" t="n">
        <x:v>10</x:v>
      </x:c>
      <x:c r="B11" s="30" t="str">
        <x:v>Ansar</x:v>
      </x:c>
      <x:c r="C11" s="30" t="str">
        <x:v>Perfeito hotdog</x:v>
      </x:c>
      <x:c r="D11" s="30" t="str">
        <x:v>Fast food / hot dog</x:v>
      </x:c>
      <x:c r="E11" s="30" t="str">
        <x:v>Temporarily closed</x:v>
      </x:c>
      <x:c r="F11" s="30" t="str">
        <x:v>Ansar, Nabatieh–Tyre Rd, opposite Kojok Electric</x:v>
      </x:c>
      <x:c r="G11" s="30" t="str">
        <x:v>+961 70 838 046</x:v>
      </x:c>
      <x:c r="H11" s="32" t="n">
        <x:v>4.9</x:v>
      </x:c>
      <x:c r="I11" s="34" t="n">
        <x:v>10</x:v>
      </x:c>
      <x:c r="J11" s="30" t="str"/>
      <x:c r="K11" s="30" t="str">
        <x:v>High</x:v>
      </x:c>
      <x:c r="L11" s="30" t="str">
        <x:v>Exact Ansar address</x:v>
      </x:c>
      <x:c r="M11" s="30" t="str">
        <x:v>Current local-business listing</x:v>
      </x:c>
      <x:c r="N11" s="30" t="str">
        <x:v>https://www.google.com/maps/search/?api=1&amp;query=Perfeito+hotdog%2C+Ansar%2C+Lebanon</x:v>
      </x:c>
      <x:c r="O11" s="30" t="str">
        <x:v>https://www.google.com/maps/search/?api=1&amp;query=Perfeito+hotdog%2C+Ansar%2C+Lebanon</x:v>
      </x:c>
      <x:c r="P11" s="30" t="str">
        <x:v>Current listing indicates temporarily closed.</x:v>
      </x:c>
      <x:c r="Q11" s="30" t="str">
        <x:v>2026-09-07</x:v>
      </x:c>
    </x:row>
    <x:row r="12">
      <x:c r="A12" s="30" t="n">
        <x:v>11</x:v>
      </x:c>
      <x:c r="B12" s="30" t="str">
        <x:v>Ansar</x:v>
      </x:c>
      <x:c r="C12" s="30" t="str">
        <x:v>Alaa Al Abdallh Resturant</x:v>
      </x:c>
      <x:c r="D12" s="30" t="str">
        <x:v>Restaurant</x:v>
      </x:c>
      <x:c r="E12" s="30" t="str">
        <x:v>Needs verification</x:v>
      </x:c>
      <x:c r="F12" s="30" t="str">
        <x:v>Nabatieh–Tyre Road, Ansar area</x:v>
      </x:c>
      <x:c r="G12" s="30" t="str">
        <x:v>+961 81 730 687</x:v>
      </x:c>
      <x:c r="H12" s="32" t="n">
        <x:v>4.9</x:v>
      </x:c>
      <x:c r="I12" s="34" t="n">
        <x:v>16</x:v>
      </x:c>
      <x:c r="J12" s="30" t="str">
        <x:v>11:00–00:00</x:v>
      </x:c>
      <x:c r="K12" s="30" t="str">
        <x:v>Low</x:v>
      </x:c>
      <x:c r="L12" s="30" t="str">
        <x:v>Area match, not village-explicit</x:v>
      </x:c>
      <x:c r="M12" s="30" t="str">
        <x:v>Current local-business discovery</x:v>
      </x:c>
      <x:c r="N12" s="30" t="str">
        <x:v>https://www.google.com/maps/search/?api=1&amp;query=Alaa+Al+Abdallh+Resturant%2C+Ansar%2C+Lebanon</x:v>
      </x:c>
      <x:c r="O12" s="30" t="str">
        <x:v>https://www.google.com/maps/search/?api=1&amp;query=Alaa+Al+Abdallh+Resturant%2C+Ansar%2C+Lebanon</x:v>
      </x:c>
      <x:c r="P12" s="30" t="str">
        <x:v>The road is explicit but the structured address did not name Ansar; keep as a lead, not a clean exact match.</x:v>
      </x:c>
      <x:c r="Q12" s="30" t="str">
        <x:v>2026-09-07</x:v>
      </x:c>
    </x:row>
    <x:row r="13">
      <x:c r="A13" s="30" t="n">
        <x:v>12</x:v>
      </x:c>
      <x:c r="B13" s="30" t="str">
        <x:v>Arabsalim</x:v>
      </x:c>
      <x:c r="C13" s="30" t="str">
        <x:v>BobSaj</x:v>
      </x:c>
      <x:c r="D13" s="30" t="str">
        <x:v>Restaurant / saj</x:v>
      </x:c>
      <x:c r="E13" s="30" t="str">
        <x:v>Active - verified</x:v>
      </x:c>
      <x:c r="F13" s="30" t="str">
        <x:v>CGP8+725, Arab Salim</x:v>
      </x:c>
      <x:c r="G13" s="30" t="str">
        <x:v>+961 76 505 410</x:v>
      </x:c>
      <x:c r="H13" s="32"/>
      <x:c r="I13" s="34"/>
      <x:c r="J13" s="30" t="str">
        <x:v>Approx. 12:30–01:00</x:v>
      </x:c>
      <x:c r="K13" s="30" t="str">
        <x:v>High</x:v>
      </x:c>
      <x:c r="L13" s="30" t="str">
        <x:v>Exact town listing</x:v>
      </x:c>
      <x:c r="M13" s="30" t="str">
        <x:v>WenRayhin + local directory</x:v>
      </x:c>
      <x:c r="N13" s="30" t="str">
        <x:v>https://wenrayhin.com/en/towns/arab-salim/food_drink</x:v>
      </x:c>
      <x:c r="O13" s="30" t="str">
        <x:v>https://www.google.com/maps/search/?api=1&amp;query=BobSaj%2C+Arabsalim%2C+Lebanon</x:v>
      </x:c>
      <x:c r="P13" s="30" t="str"/>
      <x:c r="Q13" s="30" t="str">
        <x:v>2026-09-07</x:v>
      </x:c>
    </x:row>
    <x:row r="14">
      <x:c r="A14" s="30" t="n">
        <x:v>13</x:v>
      </x:c>
      <x:c r="B14" s="30" t="str">
        <x:v>Arabsalim</x:v>
      </x:c>
      <x:c r="C14" s="30" t="str">
        <x:v>Lolobites.lb</x:v>
      </x:c>
      <x:c r="D14" s="30" t="str">
        <x:v>Street food / snack restaurant</x:v>
      </x:c>
      <x:c r="E14" s="30" t="str">
        <x:v>Active - verified</x:v>
      </x:c>
      <x:c r="F14" s="30" t="str">
        <x:v>CGH8+W6, Arab Salim</x:v>
      </x:c>
      <x:c r="G14" s="30" t="str">
        <x:v>+961 78 858 371</x:v>
      </x:c>
      <x:c r="H14" s="32" t="n">
        <x:v>4.5</x:v>
      </x:c>
      <x:c r="I14" s="34" t="n">
        <x:v>2</x:v>
      </x:c>
      <x:c r="J14" s="30" t="str">
        <x:v>12:00–23:30 daily</x:v>
      </x:c>
      <x:c r="K14" s="30" t="str">
        <x:v>High</x:v>
      </x:c>
      <x:c r="L14" s="30" t="str">
        <x:v>Exact Arab Salim address</x:v>
      </x:c>
      <x:c r="M14" s="30" t="str">
        <x:v>Current local-business + WenRayhin</x:v>
      </x:c>
      <x:c r="N14" s="30" t="str">
        <x:v>https://wenrayhin.com/en/towns/arab-salim/food_drink</x:v>
      </x:c>
      <x:c r="O14" s="30" t="str">
        <x:v>https://www.google.com/maps/search/?api=1&amp;query=Lolobites.lb%2C+Arabsalim%2C+Lebanon</x:v>
      </x:c>
      <x:c r="P14" s="30" t="str"/>
      <x:c r="Q14" s="30" t="str">
        <x:v>2026-09-07</x:v>
      </x:c>
    </x:row>
    <x:row r="15">
      <x:c r="A15" s="30" t="n">
        <x:v>14</x:v>
      </x:c>
      <x:c r="B15" s="30" t="str">
        <x:v>Arabsalim</x:v>
      </x:c>
      <x:c r="C15" s="30" t="str">
        <x:v>Yummy's Saso Grill</x:v>
      </x:c>
      <x:c r="D15" s="30" t="str">
        <x:v>Grill restaurant</x:v>
      </x:c>
      <x:c r="E15" s="30" t="str">
        <x:v>Active - verified</x:v>
      </x:c>
      <x:c r="F15" s="30" t="str">
        <x:v>Arab Salim main road</x:v>
      </x:c>
      <x:c r="G15" s="30" t="str">
        <x:v>+961 71 245 080</x:v>
      </x:c>
      <x:c r="H15" s="32" t="n">
        <x:v>4.7</x:v>
      </x:c>
      <x:c r="I15" s="34" t="n">
        <x:v>14</x:v>
      </x:c>
      <x:c r="J15" s="30" t="str"/>
      <x:c r="K15" s="30" t="str">
        <x:v>High</x:v>
      </x:c>
      <x:c r="L15" s="30" t="str">
        <x:v>Exact address; town-catalogue conflict noted</x:v>
      </x:c>
      <x:c r="M15" s="30" t="str">
        <x:v>Current local-business listing</x:v>
      </x:c>
      <x:c r="N15" s="30" t="str">
        <x:v>https://www.google.com/maps/search/?api=1&amp;query=Yummy%27s+Saso+Grill%2C+Arab+Salim%2C+Lebanon</x:v>
      </x:c>
      <x:c r="O15" s="30" t="str">
        <x:v>https://www.google.com/maps/search/?api=1&amp;query=Yummy%27s+Saso+Grill%2C+Arabsalim%2C+Lebanon</x:v>
      </x:c>
      <x:c r="P15" s="30" t="str">
        <x:v>WenRayhin also indexes this in nearby Jarjouaa; exact structured address says Arab Salim main road.</x:v>
      </x:c>
      <x:c r="Q15" s="30" t="str">
        <x:v>2026-09-07</x:v>
      </x:c>
    </x:row>
    <x:row r="16">
      <x:c r="A16" s="30" t="n">
        <x:v>15</x:v>
      </x:c>
      <x:c r="B16" s="30" t="str">
        <x:v>Arabsalim</x:v>
      </x:c>
      <x:c r="C16" s="30" t="str">
        <x:v>Hotdog Station</x:v>
      </x:c>
      <x:c r="D16" s="30" t="str">
        <x:v>Restaurant / hot dog</x:v>
      </x:c>
      <x:c r="E16" s="30" t="str">
        <x:v>Listed current</x:v>
      </x:c>
      <x:c r="F16" s="30" t="str">
        <x:v>Arab Salim</x:v>
      </x:c>
      <x:c r="G16" s="30" t="str"/>
      <x:c r="H16" s="32"/>
      <x:c r="I16" s="34"/>
      <x:c r="J16" s="30" t="str"/>
      <x:c r="K16" s="30" t="str">
        <x:v>Medium</x:v>
      </x:c>
      <x:c r="L16" s="30" t="str">
        <x:v>Town catalogue</x:v>
      </x:c>
      <x:c r="M16" s="30" t="str">
        <x:v>WenRayhin Arab Salim — listed open on Google</x:v>
      </x:c>
      <x:c r="N16" s="30" t="str">
        <x:v>https://wenrayhin.com/en/towns/arab-salim/food_drink</x:v>
      </x:c>
      <x:c r="O16" s="30" t="str">
        <x:v>https://www.google.com/maps/search/?api=1&amp;query=Hotdog+Station%2C+Arabsalim%2C+Lebanon</x:v>
      </x:c>
      <x:c r="P16" s="30" t="str"/>
      <x:c r="Q16" s="30" t="str">
        <x:v>2026-09-07</x:v>
      </x:c>
    </x:row>
    <x:row r="17">
      <x:c r="A17" s="30" t="n">
        <x:v>16</x:v>
      </x:c>
      <x:c r="B17" s="30" t="str">
        <x:v>Arabsalim</x:v>
      </x:c>
      <x:c r="C17" s="30" t="str">
        <x:v>Le Parfait Factory</x:v>
      </x:c>
      <x:c r="D17" s="30" t="str">
        <x:v>Restaurant</x:v>
      </x:c>
      <x:c r="E17" s="30" t="str">
        <x:v>Listed current</x:v>
      </x:c>
      <x:c r="F17" s="30" t="str">
        <x:v>Arab Salim</x:v>
      </x:c>
      <x:c r="G17" s="30" t="str"/>
      <x:c r="H17" s="32"/>
      <x:c r="I17" s="34"/>
      <x:c r="J17" s="30" t="str"/>
      <x:c r="K17" s="30" t="str">
        <x:v>Medium</x:v>
      </x:c>
      <x:c r="L17" s="30" t="str">
        <x:v>Town catalogue</x:v>
      </x:c>
      <x:c r="M17" s="30" t="str">
        <x:v>WenRayhin Arab Salim — listed open on Google</x:v>
      </x:c>
      <x:c r="N17" s="30" t="str">
        <x:v>https://wenrayhin.com/en/towns/arab-salim/food_drink</x:v>
      </x:c>
      <x:c r="O17" s="30" t="str">
        <x:v>https://www.google.com/maps/search/?api=1&amp;query=Le+Parfait+Factory%2C+Arabsalim%2C+Lebanon</x:v>
      </x:c>
      <x:c r="P17" s="30" t="str"/>
      <x:c r="Q17" s="30" t="str">
        <x:v>2026-09-07</x:v>
      </x:c>
    </x:row>
    <x:row r="18">
      <x:c r="A18" s="30" t="n">
        <x:v>17</x:v>
      </x:c>
      <x:c r="B18" s="30" t="str">
        <x:v>Arabsalim</x:v>
      </x:c>
      <x:c r="C18" s="30" t="str">
        <x:v>Nation burger</x:v>
      </x:c>
      <x:c r="D18" s="30" t="str">
        <x:v>Burger restaurant</x:v>
      </x:c>
      <x:c r="E18" s="30" t="str">
        <x:v>Listed current</x:v>
      </x:c>
      <x:c r="F18" s="30" t="str">
        <x:v>Arab Salim</x:v>
      </x:c>
      <x:c r="G18" s="30" t="str"/>
      <x:c r="H18" s="32"/>
      <x:c r="I18" s="34"/>
      <x:c r="J18" s="30" t="str"/>
      <x:c r="K18" s="30" t="str">
        <x:v>Medium</x:v>
      </x:c>
      <x:c r="L18" s="30" t="str">
        <x:v>Town catalogue</x:v>
      </x:c>
      <x:c r="M18" s="30" t="str">
        <x:v>WenRayhin Arab Salim — listed open on Google</x:v>
      </x:c>
      <x:c r="N18" s="30" t="str">
        <x:v>https://wenrayhin.com/en/towns/arab-salim/food_drink</x:v>
      </x:c>
      <x:c r="O18" s="30" t="str">
        <x:v>https://www.google.com/maps/search/?api=1&amp;query=Nation+burger%2C+Arabsalim%2C+Lebanon</x:v>
      </x:c>
      <x:c r="P18" s="30" t="str"/>
      <x:c r="Q18" s="30" t="str">
        <x:v>2026-09-07</x:v>
      </x:c>
    </x:row>
    <x:row r="19">
      <x:c r="A19" s="30" t="n">
        <x:v>18</x:v>
      </x:c>
      <x:c r="B19" s="30" t="str">
        <x:v>Arabsalim</x:v>
      </x:c>
      <x:c r="C19" s="30" t="str">
        <x:v>Pizza karaki</x:v>
      </x:c>
      <x:c r="D19" s="30" t="str">
        <x:v>Pizza restaurant</x:v>
      </x:c>
      <x:c r="E19" s="30" t="str">
        <x:v>Listed current</x:v>
      </x:c>
      <x:c r="F19" s="30" t="str">
        <x:v>Arab Salim</x:v>
      </x:c>
      <x:c r="G19" s="30" t="str"/>
      <x:c r="H19" s="32"/>
      <x:c r="I19" s="34"/>
      <x:c r="J19" s="30" t="str"/>
      <x:c r="K19" s="30" t="str">
        <x:v>Medium</x:v>
      </x:c>
      <x:c r="L19" s="30" t="str">
        <x:v>Town catalogue</x:v>
      </x:c>
      <x:c r="M19" s="30" t="str">
        <x:v>WenRayhin Arab Salim — listed open on Google</x:v>
      </x:c>
      <x:c r="N19" s="30" t="str">
        <x:v>https://wenrayhin.com/en/towns/arab-salim/food_drink</x:v>
      </x:c>
      <x:c r="O19" s="30" t="str">
        <x:v>https://www.google.com/maps/search/?api=1&amp;query=Pizza+karaki%2C+Arabsalim%2C+Lebanon</x:v>
      </x:c>
      <x:c r="P19" s="30" t="str"/>
      <x:c r="Q19" s="30" t="str">
        <x:v>2026-09-07</x:v>
      </x:c>
    </x:row>
    <x:row r="20">
      <x:c r="A20" s="30" t="n">
        <x:v>19</x:v>
      </x:c>
      <x:c r="B20" s="30" t="str">
        <x:v>Arabsalim</x:v>
      </x:c>
      <x:c r="C20" s="30" t="str">
        <x:v>The Wheat</x:v>
      </x:c>
      <x:c r="D20" s="30" t="str">
        <x:v>Restaurant</x:v>
      </x:c>
      <x:c r="E20" s="30" t="str">
        <x:v>Listed current</x:v>
      </x:c>
      <x:c r="F20" s="30" t="str">
        <x:v>Arab Salim</x:v>
      </x:c>
      <x:c r="G20" s="30" t="str"/>
      <x:c r="H20" s="32"/>
      <x:c r="I20" s="34"/>
      <x:c r="J20" s="30" t="str"/>
      <x:c r="K20" s="30" t="str">
        <x:v>Medium</x:v>
      </x:c>
      <x:c r="L20" s="30" t="str">
        <x:v>Town catalogue</x:v>
      </x:c>
      <x:c r="M20" s="30" t="str">
        <x:v>WenRayhin Arab Salim — listed open on Google</x:v>
      </x:c>
      <x:c r="N20" s="30" t="str">
        <x:v>https://wenrayhin.com/en/towns/arab-salim/food_drink</x:v>
      </x:c>
      <x:c r="O20" s="30" t="str">
        <x:v>https://www.google.com/maps/search/?api=1&amp;query=The+Wheat%2C+Arabsalim%2C+Lebanon</x:v>
      </x:c>
      <x:c r="P20" s="30" t="str"/>
      <x:c r="Q20" s="30" t="str">
        <x:v>2026-09-07</x:v>
      </x:c>
    </x:row>
    <x:row r="21">
      <x:c r="A21" s="30" t="n">
        <x:v>20</x:v>
      </x:c>
      <x:c r="B21" s="30" t="str">
        <x:v>Arabsalim</x:v>
      </x:c>
      <x:c r="C21" s="30" t="str">
        <x:v>مطعم بو علي عبود</x:v>
      </x:c>
      <x:c r="D21" s="30" t="str">
        <x:v>Grill / chicken restaurant</x:v>
      </x:c>
      <x:c r="E21" s="30" t="str">
        <x:v>Needs verification</x:v>
      </x:c>
      <x:c r="F21" s="30" t="str">
        <x:v>Arab Salim–Jarjouh road</x:v>
      </x:c>
      <x:c r="G21" s="30" t="str">
        <x:v>+961 3 019 513</x:v>
      </x:c>
      <x:c r="H21" s="32"/>
      <x:c r="I21" s="34"/>
      <x:c r="J21" s="30" t="str"/>
      <x:c r="K21" s="30" t="str">
        <x:v>Medium</x:v>
      </x:c>
      <x:c r="L21" s="30" t="str">
        <x:v>Exact village local-directory listing</x:v>
      </x:c>
      <x:c r="M21" s="30" t="str">
        <x:v>ArabSalim.net local restaurant directory</x:v>
      </x:c>
      <x:c r="N21" s="30" t="str">
        <x:v>https://arabsalim.net/subcategory/restaurants</x:v>
      </x:c>
      <x:c r="O21" s="30" t="str">
        <x:v>https://www.google.com/maps/search/?api=1&amp;query=%D9%85%D8%B7%D8%B9%D9%85+%D8%A8%D9%88+%D8%B9%D9%84%D9%8A+%D8%B9%D8%A8%D9%88%D8%AF%2C+Arabsalim%2C+Lebanon</x:v>
      </x:c>
      <x:c r="P21" s="30" t="str">
        <x:v>Useful local lead; not independently current-map verified in this research pass.</x:v>
      </x:c>
      <x:c r="Q21" s="30" t="str">
        <x:v>2026-09-07</x:v>
      </x:c>
    </x:row>
    <x:row r="22">
      <x:c r="A22" s="30" t="n">
        <x:v>21</x:v>
      </x:c>
      <x:c r="B22" s="30" t="str">
        <x:v>Arabsalim</x:v>
      </x:c>
      <x:c r="C22" s="30" t="str">
        <x:v>مطعم حلا</x:v>
      </x:c>
      <x:c r="D22" s="30" t="str">
        <x:v>Restaurant</x:v>
      </x:c>
      <x:c r="E22" s="30" t="str">
        <x:v>Needs verification</x:v>
      </x:c>
      <x:c r="F22" s="30" t="str">
        <x:v>Arab Salim–Jarjouh road</x:v>
      </x:c>
      <x:c r="G22" s="30" t="str">
        <x:v>+961 3 089 906</x:v>
      </x:c>
      <x:c r="H22" s="32"/>
      <x:c r="I22" s="34"/>
      <x:c r="J22" s="30" t="str"/>
      <x:c r="K22" s="30" t="str">
        <x:v>Medium</x:v>
      </x:c>
      <x:c r="L22" s="30" t="str">
        <x:v>Exact village local-directory listing</x:v>
      </x:c>
      <x:c r="M22" s="30" t="str">
        <x:v>ArabSalim.net local restaurant directory</x:v>
      </x:c>
      <x:c r="N22" s="30" t="str">
        <x:v>https://arabsalim.net/subcategory/restaurants</x:v>
      </x:c>
      <x:c r="O22" s="30" t="str">
        <x:v>https://www.google.com/maps/search/?api=1&amp;query=%D9%85%D8%B7%D8%B9%D9%85+%D8%AD%D9%84%D8%A7%2C+Arabsalim%2C+Lebanon</x:v>
      </x:c>
      <x:c r="P22" s="30" t="str">
        <x:v>Useful local lead; not independently current-map verified in this research pass.</x:v>
      </x:c>
      <x:c r="Q22" s="30" t="str">
        <x:v>2026-09-07</x:v>
      </x:c>
    </x:row>
    <x:row r="23">
      <x:c r="A23" s="30" t="n">
        <x:v>22</x:v>
      </x:c>
      <x:c r="B23" s="30" t="str">
        <x:v>Arabsalim</x:v>
      </x:c>
      <x:c r="C23" s="30" t="str">
        <x:v>so cheesy</x:v>
      </x:c>
      <x:c r="D23" s="30" t="str">
        <x:v>Fast food / cheese</x:v>
      </x:c>
      <x:c r="E23" s="30" t="str">
        <x:v>Needs verification</x:v>
      </x:c>
      <x:c r="F23" s="30" t="str">
        <x:v>Arab Salim</x:v>
      </x:c>
      <x:c r="G23" s="30" t="str">
        <x:v>+961 70 807 013</x:v>
      </x:c>
      <x:c r="H23" s="32"/>
      <x:c r="I23" s="34"/>
      <x:c r="J23" s="30" t="str"/>
      <x:c r="K23" s="30" t="str">
        <x:v>Medium</x:v>
      </x:c>
      <x:c r="L23" s="30" t="str">
        <x:v>Exact village local-directory listing</x:v>
      </x:c>
      <x:c r="M23" s="30" t="str">
        <x:v>ArabSalim.net local restaurant directory</x:v>
      </x:c>
      <x:c r="N23" s="30" t="str">
        <x:v>https://arabsalim.net/subcategory/restaurants</x:v>
      </x:c>
      <x:c r="O23" s="30" t="str">
        <x:v>https://www.google.com/maps/search/?api=1&amp;query=so+cheesy%2C+Arabsalim%2C+Lebanon</x:v>
      </x:c>
      <x:c r="P23" s="30" t="str">
        <x:v>Useful local lead; not independently current-map verified in this research pass.</x:v>
      </x:c>
      <x:c r="Q23" s="30" t="str">
        <x:v>2026-09-07</x:v>
      </x:c>
    </x:row>
    <x:row r="24">
      <x:c r="A24" s="30" t="n">
        <x:v>23</x:v>
      </x:c>
      <x:c r="B24" s="30" t="str">
        <x:v>Arabsalim</x:v>
      </x:c>
      <x:c r="C24" s="30" t="str">
        <x:v>مطعم ابو ليام</x:v>
      </x:c>
      <x:c r="D24" s="30" t="str">
        <x:v>Restaurant</x:v>
      </x:c>
      <x:c r="E24" s="30" t="str">
        <x:v>Needs verification</x:v>
      </x:c>
      <x:c r="F24" s="30" t="str">
        <x:v>Public square, Arab Salim</x:v>
      </x:c>
      <x:c r="G24" s="30" t="str">
        <x:v>+961 71 080 103</x:v>
      </x:c>
      <x:c r="H24" s="32"/>
      <x:c r="I24" s="34"/>
      <x:c r="J24" s="30" t="str"/>
      <x:c r="K24" s="30" t="str">
        <x:v>Medium</x:v>
      </x:c>
      <x:c r="L24" s="30" t="str">
        <x:v>Exact village local-directory listing</x:v>
      </x:c>
      <x:c r="M24" s="30" t="str">
        <x:v>ArabSalim.net local restaurant directory</x:v>
      </x:c>
      <x:c r="N24" s="30" t="str">
        <x:v>https://arabsalim.net/subcategory/restaurants</x:v>
      </x:c>
      <x:c r="O24" s="30" t="str">
        <x:v>https://www.google.com/maps/search/?api=1&amp;query=%D9%85%D8%B7%D8%B9%D9%85+%D8%A7%D8%A8%D9%88+%D9%84%D9%8A%D8%A7%D9%85%2C+Arabsalim%2C+Lebanon</x:v>
      </x:c>
      <x:c r="P24" s="30" t="str">
        <x:v>Useful local lead; not independently current-map verified in this research pass.</x:v>
      </x:c>
      <x:c r="Q24" s="30" t="str">
        <x:v>2026-09-07</x:v>
      </x:c>
    </x:row>
    <x:row r="25">
      <x:c r="A25" s="30" t="n">
        <x:v>24</x:v>
      </x:c>
      <x:c r="B25" s="30" t="str">
        <x:v>Arabsalim</x:v>
      </x:c>
      <x:c r="C25" s="30" t="str">
        <x:v>ملحمة ومشاوي أبو الفضل</x:v>
      </x:c>
      <x:c r="D25" s="30" t="str">
        <x:v>Butcher &amp; grills</x:v>
      </x:c>
      <x:c r="E25" s="30" t="str">
        <x:v>Needs verification</x:v>
      </x:c>
      <x:c r="F25" s="30" t="str">
        <x:v>Beside town mosque</x:v>
      </x:c>
      <x:c r="G25" s="30" t="str">
        <x:v>+961 71 369 096</x:v>
      </x:c>
      <x:c r="H25" s="32"/>
      <x:c r="I25" s="34"/>
      <x:c r="J25" s="30" t="str"/>
      <x:c r="K25" s="30" t="str">
        <x:v>Medium</x:v>
      </x:c>
      <x:c r="L25" s="30" t="str">
        <x:v>Exact village local-directory listing</x:v>
      </x:c>
      <x:c r="M25" s="30" t="str">
        <x:v>ArabSalim.net local restaurant directory</x:v>
      </x:c>
      <x:c r="N25" s="30" t="str">
        <x:v>https://arabsalim.net/subcategory/restaurants</x:v>
      </x:c>
      <x:c r="O25" s="30" t="str">
        <x:v>https://www.google.com/maps/search/?api=1&amp;query=%D9%85%D9%84%D8%AD%D9%85%D8%A9+%D9%88%D9%85%D8%B4%D8%A7%D9%88%D9%8A+%D8%A3%D8%A8%D9%88+%D8%A7%D9%84%D9%81%D8%B6%D9%84%2C+Arabsalim%2C+Lebanon</x:v>
      </x:c>
      <x:c r="P25" s="30" t="str">
        <x:v>Useful local lead; not independently current-map verified in this research pass.</x:v>
      </x:c>
      <x:c r="Q25" s="30" t="str">
        <x:v>2026-09-07</x:v>
      </x:c>
    </x:row>
    <x:row r="26">
      <x:c r="A26" s="30" t="n">
        <x:v>25</x:v>
      </x:c>
      <x:c r="B26" s="30" t="str">
        <x:v>Arabsalim</x:v>
      </x:c>
      <x:c r="C26" s="30" t="str">
        <x:v>ملحمة ومشاوي أبو ماهر</x:v>
      </x:c>
      <x:c r="D26" s="30" t="str">
        <x:v>Butcher &amp; grills</x:v>
      </x:c>
      <x:c r="E26" s="30" t="str">
        <x:v>Needs verification</x:v>
      </x:c>
      <x:c r="F26" s="30" t="str">
        <x:v>Road to official school</x:v>
      </x:c>
      <x:c r="G26" s="30" t="str">
        <x:v>+961 76 187 967</x:v>
      </x:c>
      <x:c r="H26" s="32"/>
      <x:c r="I26" s="34"/>
      <x:c r="J26" s="30" t="str"/>
      <x:c r="K26" s="30" t="str">
        <x:v>Medium</x:v>
      </x:c>
      <x:c r="L26" s="30" t="str">
        <x:v>Exact village local-directory listing</x:v>
      </x:c>
      <x:c r="M26" s="30" t="str">
        <x:v>ArabSalim.net local restaurant directory</x:v>
      </x:c>
      <x:c r="N26" s="30" t="str">
        <x:v>https://arabsalim.net/subcategory/restaurants</x:v>
      </x:c>
      <x:c r="O26" s="30" t="str">
        <x:v>https://www.google.com/maps/search/?api=1&amp;query=%D9%85%D9%84%D8%AD%D9%85%D8%A9+%D9%88%D9%85%D8%B4%D8%A7%D9%88%D9%8A+%D8%A3%D8%A8%D9%88+%D9%85%D8%A7%D9%87%D8%B1%2C+Arabsalim%2C+Lebanon</x:v>
      </x:c>
      <x:c r="P26" s="30" t="str">
        <x:v>Useful local lead; not independently current-map verified in this research pass.</x:v>
      </x:c>
      <x:c r="Q26" s="30" t="str">
        <x:v>2026-09-07</x:v>
      </x:c>
    </x:row>
    <x:row r="27">
      <x:c r="A27" s="30" t="n">
        <x:v>26</x:v>
      </x:c>
      <x:c r="B27" s="30" t="str">
        <x:v>Arabsalim</x:v>
      </x:c>
      <x:c r="C27" s="30" t="str">
        <x:v>فلافل علي بطة</x:v>
      </x:c>
      <x:c r="D27" s="30" t="str">
        <x:v>Falafel / fast food</x:v>
      </x:c>
      <x:c r="E27" s="30" t="str">
        <x:v>Needs verification</x:v>
      </x:c>
      <x:c r="F27" s="30" t="str">
        <x:v>Dawwar Al-Labbaneh</x:v>
      </x:c>
      <x:c r="G27" s="30" t="str">
        <x:v>+961 70 832 109</x:v>
      </x:c>
      <x:c r="H27" s="32"/>
      <x:c r="I27" s="34"/>
      <x:c r="J27" s="30" t="str"/>
      <x:c r="K27" s="30" t="str">
        <x:v>Medium</x:v>
      </x:c>
      <x:c r="L27" s="30" t="str">
        <x:v>Exact village local-directory listing</x:v>
      </x:c>
      <x:c r="M27" s="30" t="str">
        <x:v>ArabSalim.net local restaurant directory</x:v>
      </x:c>
      <x:c r="N27" s="30" t="str">
        <x:v>https://arabsalim.net/subcategory/restaurants</x:v>
      </x:c>
      <x:c r="O27" s="30" t="str">
        <x:v>https://www.google.com/maps/search/?api=1&amp;query=%D9%81%D9%84%D8%A7%D9%81%D9%84+%D8%B9%D9%84%D9%8A+%D8%A8%D8%B7%D8%A9%2C+Arabsalim%2C+Lebanon</x:v>
      </x:c>
      <x:c r="P27" s="30" t="str">
        <x:v>Useful local lead; not independently current-map verified in this research pass.</x:v>
      </x:c>
      <x:c r="Q27" s="30" t="str">
        <x:v>2026-09-07</x:v>
      </x:c>
    </x:row>
    <x:row r="28">
      <x:c r="A28" s="30" t="n">
        <x:v>27</x:v>
      </x:c>
      <x:c r="B28" s="30" t="str">
        <x:v>Arabsalim</x:v>
      </x:c>
      <x:c r="C28" s="30" t="str">
        <x:v>فلافل الختيار</x:v>
      </x:c>
      <x:c r="D28" s="30" t="str">
        <x:v>Falafel / fast food</x:v>
      </x:c>
      <x:c r="E28" s="30" t="str">
        <x:v>Needs verification</x:v>
      </x:c>
      <x:c r="F28" s="30" t="str">
        <x:v>Arab Salim–Jarjouh road</x:v>
      </x:c>
      <x:c r="G28" s="30" t="str">
        <x:v>+961 71 491 098</x:v>
      </x:c>
      <x:c r="H28" s="32"/>
      <x:c r="I28" s="34"/>
      <x:c r="J28" s="30" t="str"/>
      <x:c r="K28" s="30" t="str">
        <x:v>Medium</x:v>
      </x:c>
      <x:c r="L28" s="30" t="str">
        <x:v>Exact village local-directory listing</x:v>
      </x:c>
      <x:c r="M28" s="30" t="str">
        <x:v>ArabSalim.net local restaurant directory</x:v>
      </x:c>
      <x:c r="N28" s="30" t="str">
        <x:v>https://arabsalim.net/subcategory/restaurants</x:v>
      </x:c>
      <x:c r="O28" s="30" t="str">
        <x:v>https://www.google.com/maps/search/?api=1&amp;query=%D9%81%D9%84%D8%A7%D9%81%D9%84+%D8%A7%D9%84%D8%AE%D8%AA%D9%8A%D8%A7%D8%B1%2C+Arabsalim%2C+Lebanon</x:v>
      </x:c>
      <x:c r="P28" s="30" t="str">
        <x:v>Useful local lead; not independently current-map verified in this research pass.</x:v>
      </x:c>
      <x:c r="Q28" s="30" t="str">
        <x:v>2026-09-07</x:v>
      </x:c>
    </x:row>
    <x:row r="29">
      <x:c r="A29" s="30" t="n">
        <x:v>28</x:v>
      </x:c>
      <x:c r="B29" s="30" t="str">
        <x:v>Arabsalim</x:v>
      </x:c>
      <x:c r="C29" s="30" t="str">
        <x:v>فروج ونص</x:v>
      </x:c>
      <x:c r="D29" s="30" t="str">
        <x:v>Chicken restaurant</x:v>
      </x:c>
      <x:c r="E29" s="30" t="str">
        <x:v>Needs verification</x:v>
      </x:c>
      <x:c r="F29" s="30" t="str">
        <x:v>Arab Salim–Mlita road</x:v>
      </x:c>
      <x:c r="G29" s="30" t="str">
        <x:v>+961 70 750 771</x:v>
      </x:c>
      <x:c r="H29" s="32"/>
      <x:c r="I29" s="34"/>
      <x:c r="J29" s="30" t="str"/>
      <x:c r="K29" s="30" t="str">
        <x:v>Medium</x:v>
      </x:c>
      <x:c r="L29" s="30" t="str">
        <x:v>Exact village local-directory listing</x:v>
      </x:c>
      <x:c r="M29" s="30" t="str">
        <x:v>ArabSalim.net local restaurant directory</x:v>
      </x:c>
      <x:c r="N29" s="30" t="str">
        <x:v>https://arabsalim.net/subcategory/restaurants</x:v>
      </x:c>
      <x:c r="O29" s="30" t="str">
        <x:v>https://www.google.com/maps/search/?api=1&amp;query=%D9%81%D8%B1%D9%88%D8%AC+%D9%88%D9%86%D8%B5%2C+Arabsalim%2C+Lebanon</x:v>
      </x:c>
      <x:c r="P29" s="30" t="str">
        <x:v>Useful local lead; not independently current-map verified in this research pass.</x:v>
      </x:c>
      <x:c r="Q29" s="30" t="str">
        <x:v>2026-09-07</x:v>
      </x:c>
    </x:row>
    <x:row r="30">
      <x:c r="A30" s="30" t="n">
        <x:v>29</x:v>
      </x:c>
      <x:c r="B30" s="30" t="str">
        <x:v>Arabsalim</x:v>
      </x:c>
      <x:c r="C30" s="30" t="str">
        <x:v>فروج الملوك / فروج شرارة</x:v>
      </x:c>
      <x:c r="D30" s="30" t="str">
        <x:v>Chicken restaurant</x:v>
      </x:c>
      <x:c r="E30" s="30" t="str">
        <x:v>Needs verification</x:v>
      </x:c>
      <x:c r="F30" s="30" t="str">
        <x:v>Arab Salim main road</x:v>
      </x:c>
      <x:c r="G30" s="30" t="str">
        <x:v>+961 71 877 366</x:v>
      </x:c>
      <x:c r="H30" s="32"/>
      <x:c r="I30" s="34"/>
      <x:c r="J30" s="30" t="str"/>
      <x:c r="K30" s="30" t="str">
        <x:v>Medium</x:v>
      </x:c>
      <x:c r="L30" s="30" t="str">
        <x:v>Exact village local-directory listing</x:v>
      </x:c>
      <x:c r="M30" s="30" t="str">
        <x:v>ArabSalim.net local restaurant directory</x:v>
      </x:c>
      <x:c r="N30" s="30" t="str">
        <x:v>https://arabsalim.net/subcategory/restaurants</x:v>
      </x:c>
      <x:c r="O30" s="30" t="str">
        <x:v>https://www.google.com/maps/search/?api=1&amp;query=%D9%81%D8%B1%D9%88%D8%AC+%D8%A7%D9%84%D9%85%D9%84%D9%88%D9%83+%2F+%D9%81%D8%B1%D9%88%D8%AC+%D8%B4%D8%B1%D8%A7%D8%B1%D8%A9%2C+Arabsalim%2C+Lebanon</x:v>
      </x:c>
      <x:c r="P30" s="30" t="str">
        <x:v>Useful local lead; not independently current-map verified in this research pass.</x:v>
      </x:c>
      <x:c r="Q30" s="30" t="str">
        <x:v>2026-09-07</x:v>
      </x:c>
    </x:row>
    <x:row r="31">
      <x:c r="A31" s="30" t="n">
        <x:v>30</x:v>
      </x:c>
      <x:c r="B31" s="30" t="str">
        <x:v>Arabsalim</x:v>
      </x:c>
      <x:c r="C31" s="30" t="str">
        <x:v>فلافل وسناك حبيب</x:v>
      </x:c>
      <x:c r="D31" s="30" t="str">
        <x:v>Snack / falafel</x:v>
      </x:c>
      <x:c r="E31" s="30" t="str">
        <x:v>Needs verification</x:v>
      </x:c>
      <x:c r="F31" s="30" t="str">
        <x:v>Nahr Al-Kharkhar road</x:v>
      </x:c>
      <x:c r="G31" s="30" t="str">
        <x:v>+961 81 250 130</x:v>
      </x:c>
      <x:c r="H31" s="32"/>
      <x:c r="I31" s="34"/>
      <x:c r="J31" s="30" t="str"/>
      <x:c r="K31" s="30" t="str">
        <x:v>Medium</x:v>
      </x:c>
      <x:c r="L31" s="30" t="str">
        <x:v>Exact village local-directory listing</x:v>
      </x:c>
      <x:c r="M31" s="30" t="str">
        <x:v>ArabSalim.net local restaurant directory</x:v>
      </x:c>
      <x:c r="N31" s="30" t="str">
        <x:v>https://arabsalim.net/subcategory/restaurants</x:v>
      </x:c>
      <x:c r="O31" s="30" t="str">
        <x:v>https://www.google.com/maps/search/?api=1&amp;query=%D9%81%D9%84%D8%A7%D9%81%D9%84+%D9%88%D8%B3%D9%86%D8%A7%D9%83+%D8%AD%D8%A8%D9%8A%D8%A8%2C+Arabsalim%2C+Lebanon</x:v>
      </x:c>
      <x:c r="P31" s="30" t="str">
        <x:v>Useful local lead; not independently current-map verified in this research pass.</x:v>
      </x:c>
      <x:c r="Q31" s="30" t="str">
        <x:v>2026-09-07</x:v>
      </x:c>
    </x:row>
    <x:row r="32">
      <x:c r="A32" s="30" t="n">
        <x:v>31</x:v>
      </x:c>
      <x:c r="B32" s="30" t="str">
        <x:v>Arabsalim</x:v>
      </x:c>
      <x:c r="C32" s="30" t="str">
        <x:v>Abou aljeik burger</x:v>
      </x:c>
      <x:c r="D32" s="30" t="str">
        <x:v>Burger / fast food</x:v>
      </x:c>
      <x:c r="E32" s="30" t="str">
        <x:v>Needs verification</x:v>
      </x:c>
      <x:c r="F32" s="30" t="str">
        <x:v>Arab Salim</x:v>
      </x:c>
      <x:c r="G32" s="30" t="str">
        <x:v>+961 81 250 130</x:v>
      </x:c>
      <x:c r="H32" s="32"/>
      <x:c r="I32" s="34"/>
      <x:c r="J32" s="30" t="str"/>
      <x:c r="K32" s="30" t="str">
        <x:v>Medium</x:v>
      </x:c>
      <x:c r="L32" s="30" t="str">
        <x:v>Exact village local-directory listing</x:v>
      </x:c>
      <x:c r="M32" s="30" t="str">
        <x:v>ArabSalim.net local restaurant directory</x:v>
      </x:c>
      <x:c r="N32" s="30" t="str">
        <x:v>https://arabsalim.net/subcategory/restaurants</x:v>
      </x:c>
      <x:c r="O32" s="30" t="str">
        <x:v>https://www.google.com/maps/search/?api=1&amp;query=Abou+aljeik+burger%2C+Arabsalim%2C+Lebanon</x:v>
      </x:c>
      <x:c r="P32" s="30" t="str">
        <x:v>Useful local lead; not independently current-map verified in this research pass.</x:v>
      </x:c>
      <x:c r="Q32" s="30" t="str">
        <x:v>2026-09-07</x:v>
      </x:c>
    </x:row>
    <x:row r="33">
      <x:c r="A33" s="30" t="n">
        <x:v>32</x:v>
      </x:c>
      <x:c r="B33" s="30" t="str">
        <x:v>Arnoun</x:v>
      </x:c>
      <x:c r="C33" s="30" t="str">
        <x:v>Al Bohsasa Restaurant / مطعم نبع البحصاصه</x:v>
      </x:c>
      <x:c r="D33" s="30" t="str">
        <x:v>Lebanese / Mediterranean restaurant</x:v>
      </x:c>
      <x:c r="E33" s="30" t="str">
        <x:v>Location conflict</x:v>
      </x:c>
      <x:c r="F33" s="30" t="str">
        <x:v>Tripadvisor: Arnoun; current map evidence: Hasbaiyya</x:v>
      </x:c>
      <x:c r="G33" s="30" t="str">
        <x:v>+961 70 777 778</x:v>
      </x:c>
      <x:c r="H33" s="32" t="n">
        <x:v>4.5</x:v>
      </x:c>
      <x:c r="I33" s="34" t="n">
        <x:v>11</x:v>
      </x:c>
      <x:c r="J33" s="30" t="str"/>
      <x:c r="K33" s="30" t="str">
        <x:v>Low</x:v>
      </x:c>
      <x:c r="L33" s="30" t="str">
        <x:v>Conflicting locality</x:v>
      </x:c>
      <x:c r="M33" s="30" t="str">
        <x:v>Tripadvisor + current local-business listing</x:v>
      </x:c>
      <x:c r="N33" s="30" t="str">
        <x:v>https://www.tripadvisor.com/Restaurants-g5606246-Arnoun_Nabatieh_Governorate.html</x:v>
      </x:c>
      <x:c r="O33" s="30" t="str">
        <x:v>https://www.google.com/maps/search/?api=1&amp;query=Al+Bohsasa+Restaurant+%2F+%D9%85%D8%B7%D8%B9%D9%85+%D9%86%D8%A8%D8%B9+%D8%A7%D9%84%D8%A8%D8%AD%D8%B5%D8%A7%D8%B5%D9%87%2C+Arnoun%2C+Lebanon</x:v>
      </x:c>
      <x:c r="P33" s="30" t="str">
        <x:v>Do not count as a clean Arnoun restaurant until locality/branch is confirmed.</x:v>
      </x:c>
      <x:c r="Q33" s="30" t="str">
        <x:v>2026-09-07</x:v>
      </x:c>
    </x:row>
    <x:row r="34">
      <x:c r="A34" s="30" t="n">
        <x:v>33</x:v>
      </x:c>
      <x:c r="B34" s="30" t="str">
        <x:v>Arnoun</x:v>
      </x:c>
      <x:c r="C34" s="30" t="str">
        <x:v>مطعم واستراحة القلعة</x:v>
      </x:c>
      <x:c r="D34" s="30" t="str">
        <x:v>Restaurant / resthouse</x:v>
      </x:c>
      <x:c r="E34" s="30" t="str">
        <x:v>Historical lead</x:v>
      </x:c>
      <x:c r="F34" s="30" t="str">
        <x:v>Arnoun / Beaufort area</x:v>
      </x:c>
      <x:c r="G34" s="30" t="str"/>
      <x:c r="H34" s="32"/>
      <x:c r="I34" s="34"/>
      <x:c r="J34" s="30" t="str"/>
      <x:c r="K34" s="30" t="str">
        <x:v>Low</x:v>
      </x:c>
      <x:c r="L34" s="30" t="str">
        <x:v>Historical village reference</x:v>
      </x:c>
      <x:c r="M34" s="30" t="str">
        <x:v>Older local tourism reporting</x:v>
      </x:c>
      <x:c r="N34" s="30" t="str">
        <x:v>https://www.google.com/maps/search/?api=1&amp;query=%D9%85%D8%B7%D8%B9%D9%85+%D9%88%D8%A7%D8%B3%D8%AA%D8%B1%D8%A7%D8%AD%D8%A9+%D8%A7%D9%84%D9%82%D9%84%D8%B9%D8%A9%2C+Arnoun%2C+Lebanon</x:v>
      </x:c>
      <x:c r="O34" s="30" t="str">
        <x:v>https://www.google.com/maps/search/?api=1&amp;query=%D9%85%D8%B7%D8%B9%D9%85+%D9%88%D8%A7%D8%B3%D8%AA%D8%B1%D8%A7%D8%AD%D8%A9+%D8%A7%D9%84%D9%82%D9%84%D8%B9%D8%A9%2C+Arnoun%2C+Lebanon</x:v>
      </x:c>
      <x:c r="P34" s="30" t="str">
        <x:v>Historical lead only; current operation not verified.</x:v>
      </x:c>
      <x:c r="Q34" s="30" t="str">
        <x:v>2026-09-07</x:v>
      </x:c>
    </x:row>
    <x:row r="35">
      <x:c r="A35" s="30" t="n">
        <x:v>34</x:v>
      </x:c>
      <x:c r="B35" s="30" t="str">
        <x:v>Deir Al-Zahrani</x:v>
      </x:c>
      <x:c r="C35" s="30" t="str">
        <x:v>Olyv house</x:v>
      </x:c>
      <x:c r="D35" s="30" t="str">
        <x:v>Restaurant</x:v>
      </x:c>
      <x:c r="E35" s="30" t="str">
        <x:v>Listed current</x:v>
      </x:c>
      <x:c r="F35" s="30" t="str">
        <x:v>Deir El Zahrani</x:v>
      </x:c>
      <x:c r="G35" s="30" t="str"/>
      <x:c r="H35" s="32"/>
      <x:c r="I35" s="34"/>
      <x:c r="J35" s="30" t="str"/>
      <x:c r="K35" s="30" t="str">
        <x:v>Medium</x:v>
      </x:c>
      <x:c r="L35" s="30" t="str">
        <x:v>Town catalogue</x:v>
      </x:c>
      <x:c r="M35" s="30" t="str">
        <x:v>WenRayhin — listed open on Google</x:v>
      </x:c>
      <x:c r="N35" s="30" t="str">
        <x:v>https://wenrayhin.com/en/towns/deir-el-zahrani</x:v>
      </x:c>
      <x:c r="O35" s="30" t="str">
        <x:v>https://www.google.com/maps/search/?api=1&amp;query=Olyv+house%2C+Deir+Al-Zahrani%2C+Lebanon</x:v>
      </x:c>
      <x:c r="P35" s="30" t="str"/>
      <x:c r="Q35" s="30" t="str">
        <x:v>2026-09-07</x:v>
      </x:c>
    </x:row>
    <x:row r="36">
      <x:c r="A36" s="30" t="n">
        <x:v>35</x:v>
      </x:c>
      <x:c r="B36" s="30" t="str">
        <x:v>Deir Al-Zahrani</x:v>
      </x:c>
      <x:c r="C36" s="30" t="str">
        <x:v>Mataam Naoura Nabatieh</x:v>
      </x:c>
      <x:c r="D36" s="30" t="str">
        <x:v>Restaurant</x:v>
      </x:c>
      <x:c r="E36" s="30" t="str">
        <x:v>Listed current</x:v>
      </x:c>
      <x:c r="F36" s="30" t="str">
        <x:v>Deir El Zahrani</x:v>
      </x:c>
      <x:c r="G36" s="30" t="str"/>
      <x:c r="H36" s="32"/>
      <x:c r="I36" s="34"/>
      <x:c r="J36" s="30" t="str"/>
      <x:c r="K36" s="30" t="str">
        <x:v>Medium</x:v>
      </x:c>
      <x:c r="L36" s="30" t="str">
        <x:v>Town catalogue</x:v>
      </x:c>
      <x:c r="M36" s="30" t="str">
        <x:v>WenRayhin — listed open on Google</x:v>
      </x:c>
      <x:c r="N36" s="30" t="str">
        <x:v>https://wenrayhin.com/en/towns/deir-el-zahrani</x:v>
      </x:c>
      <x:c r="O36" s="30" t="str">
        <x:v>https://www.google.com/maps/search/?api=1&amp;query=Mataam+Naoura+Nabatieh%2C+Deir+Al-Zahrani%2C+Lebanon</x:v>
      </x:c>
      <x:c r="P36" s="30" t="str"/>
      <x:c r="Q36" s="30" t="str">
        <x:v>2026-09-07</x:v>
      </x:c>
    </x:row>
    <x:row r="37">
      <x:c r="A37" s="30" t="n">
        <x:v>36</x:v>
      </x:c>
      <x:c r="B37" s="30" t="str">
        <x:v>Deir Al-Zahrani</x:v>
      </x:c>
      <x:c r="C37" s="30" t="str">
        <x:v>BoB's BBQ</x:v>
      </x:c>
      <x:c r="D37" s="30" t="str">
        <x:v>Street food / BBQ</x:v>
      </x:c>
      <x:c r="E37" s="30" t="str">
        <x:v>Listed current</x:v>
      </x:c>
      <x:c r="F37" s="30" t="str">
        <x:v>Deir El Zahrani</x:v>
      </x:c>
      <x:c r="G37" s="30" t="str"/>
      <x:c r="H37" s="32"/>
      <x:c r="I37" s="34"/>
      <x:c r="J37" s="30" t="str"/>
      <x:c r="K37" s="30" t="str">
        <x:v>Medium</x:v>
      </x:c>
      <x:c r="L37" s="30" t="str">
        <x:v>Town catalogue</x:v>
      </x:c>
      <x:c r="M37" s="30" t="str">
        <x:v>WenRayhin — listed open on Google</x:v>
      </x:c>
      <x:c r="N37" s="30" t="str">
        <x:v>https://wenrayhin.com/en/towns/deir-el-zahrani</x:v>
      </x:c>
      <x:c r="O37" s="30" t="str">
        <x:v>https://www.google.com/maps/search/?api=1&amp;query=BoB%27s+BBQ%2C+Deir+Al-Zahrani%2C+Lebanon</x:v>
      </x:c>
      <x:c r="P37" s="30" t="str"/>
      <x:c r="Q37" s="30" t="str">
        <x:v>2026-09-07</x:v>
      </x:c>
    </x:row>
    <x:row r="38">
      <x:c r="A38" s="30" t="n">
        <x:v>37</x:v>
      </x:c>
      <x:c r="B38" s="30" t="str">
        <x:v>Deir Al-Zahrani</x:v>
      </x:c>
      <x:c r="C38" s="30" t="str">
        <x:v>Feel resto cafe</x:v>
      </x:c>
      <x:c r="D38" s="30" t="str">
        <x:v>Resto-cafe / restaurant</x:v>
      </x:c>
      <x:c r="E38" s="30" t="str">
        <x:v>Listed current</x:v>
      </x:c>
      <x:c r="F38" s="30" t="str">
        <x:v>Deir El Zahrani</x:v>
      </x:c>
      <x:c r="G38" s="30" t="str"/>
      <x:c r="H38" s="32"/>
      <x:c r="I38" s="34"/>
      <x:c r="J38" s="30" t="str"/>
      <x:c r="K38" s="30" t="str">
        <x:v>Medium</x:v>
      </x:c>
      <x:c r="L38" s="30" t="str">
        <x:v>Town catalogue</x:v>
      </x:c>
      <x:c r="M38" s="30" t="str">
        <x:v>WenRayhin — listed open on Google</x:v>
      </x:c>
      <x:c r="N38" s="30" t="str">
        <x:v>https://wenrayhin.com/en/towns/deir-el-zahrani</x:v>
      </x:c>
      <x:c r="O38" s="30" t="str">
        <x:v>https://www.google.com/maps/search/?api=1&amp;query=Feel+resto+cafe%2C+Deir+Al-Zahrani%2C+Lebanon</x:v>
      </x:c>
      <x:c r="P38" s="30" t="str"/>
      <x:c r="Q38" s="30" t="str">
        <x:v>2026-09-07</x:v>
      </x:c>
    </x:row>
    <x:row r="39">
      <x:c r="A39" s="30" t="n">
        <x:v>38</x:v>
      </x:c>
      <x:c r="B39" s="30" t="str">
        <x:v>Deir Al-Zahrani</x:v>
      </x:c>
      <x:c r="C39" s="30" t="str">
        <x:v>Furn Al Amir</x:v>
      </x:c>
      <x:c r="D39" s="30" t="str">
        <x:v>Restaurant</x:v>
      </x:c>
      <x:c r="E39" s="30" t="str">
        <x:v>Listed current</x:v>
      </x:c>
      <x:c r="F39" s="30" t="str">
        <x:v>Deir El Zahrani</x:v>
      </x:c>
      <x:c r="G39" s="30" t="str"/>
      <x:c r="H39" s="32"/>
      <x:c r="I39" s="34"/>
      <x:c r="J39" s="30" t="str"/>
      <x:c r="K39" s="30" t="str">
        <x:v>Medium</x:v>
      </x:c>
      <x:c r="L39" s="30" t="str">
        <x:v>Town catalogue</x:v>
      </x:c>
      <x:c r="M39" s="30" t="str">
        <x:v>WenRayhin — listed open on Google</x:v>
      </x:c>
      <x:c r="N39" s="30" t="str">
        <x:v>https://wenrayhin.com/en/towns/deir-el-zahrani</x:v>
      </x:c>
      <x:c r="O39" s="30" t="str">
        <x:v>https://www.google.com/maps/search/?api=1&amp;query=Furn+Al+Amir%2C+Deir+Al-Zahrani%2C+Lebanon</x:v>
      </x:c>
      <x:c r="P39" s="30" t="str"/>
      <x:c r="Q39" s="30" t="str">
        <x:v>2026-09-07</x:v>
      </x:c>
    </x:row>
    <x:row r="40">
      <x:c r="A40" s="30" t="n">
        <x:v>39</x:v>
      </x:c>
      <x:c r="B40" s="30" t="str">
        <x:v>Deir Al-Zahrani</x:v>
      </x:c>
      <x:c r="C40" s="30" t="str">
        <x:v>Kdouh - Restaurant</x:v>
      </x:c>
      <x:c r="D40" s="30" t="str">
        <x:v>Restaurant</x:v>
      </x:c>
      <x:c r="E40" s="30" t="str">
        <x:v>Listed current</x:v>
      </x:c>
      <x:c r="F40" s="30" t="str">
        <x:v>Deir El Zahrani</x:v>
      </x:c>
      <x:c r="G40" s="30" t="str"/>
      <x:c r="H40" s="32"/>
      <x:c r="I40" s="34"/>
      <x:c r="J40" s="30" t="str"/>
      <x:c r="K40" s="30" t="str">
        <x:v>Medium</x:v>
      </x:c>
      <x:c r="L40" s="30" t="str">
        <x:v>Town catalogue</x:v>
      </x:c>
      <x:c r="M40" s="30" t="str">
        <x:v>WenRayhin — listed open on Google</x:v>
      </x:c>
      <x:c r="N40" s="30" t="str">
        <x:v>https://wenrayhin.com/en/towns/deir-el-zahrani</x:v>
      </x:c>
      <x:c r="O40" s="30" t="str">
        <x:v>https://www.google.com/maps/search/?api=1&amp;query=Kdouh+-+Restaurant%2C+Deir+Al-Zahrani%2C+Lebanon</x:v>
      </x:c>
      <x:c r="P40" s="30" t="str"/>
      <x:c r="Q40" s="30" t="str">
        <x:v>2026-09-07</x:v>
      </x:c>
    </x:row>
    <x:row r="41">
      <x:c r="A41" s="30" t="n">
        <x:v>40</x:v>
      </x:c>
      <x:c r="B41" s="30" t="str">
        <x:v>Deir Al-Zahrani</x:v>
      </x:c>
      <x:c r="C41" s="30" t="str">
        <x:v>Mataam Casablanca</x:v>
      </x:c>
      <x:c r="D41" s="30" t="str">
        <x:v>Restaurant</x:v>
      </x:c>
      <x:c r="E41" s="30" t="str">
        <x:v>Listed current</x:v>
      </x:c>
      <x:c r="F41" s="30" t="str">
        <x:v>Deir El Zahrani</x:v>
      </x:c>
      <x:c r="G41" s="30" t="str"/>
      <x:c r="H41" s="32"/>
      <x:c r="I41" s="34"/>
      <x:c r="J41" s="30" t="str"/>
      <x:c r="K41" s="30" t="str">
        <x:v>Medium</x:v>
      </x:c>
      <x:c r="L41" s="30" t="str">
        <x:v>Town catalogue</x:v>
      </x:c>
      <x:c r="M41" s="30" t="str">
        <x:v>WenRayhin — listed open on Google</x:v>
      </x:c>
      <x:c r="N41" s="30" t="str">
        <x:v>https://wenrayhin.com/en/towns/deir-el-zahrani</x:v>
      </x:c>
      <x:c r="O41" s="30" t="str">
        <x:v>https://www.google.com/maps/search/?api=1&amp;query=Mataam+Casablanca%2C+Deir+Al-Zahrani%2C+Lebanon</x:v>
      </x:c>
      <x:c r="P41" s="30" t="str"/>
      <x:c r="Q41" s="30" t="str">
        <x:v>2026-09-07</x:v>
      </x:c>
    </x:row>
    <x:row r="42">
      <x:c r="A42" s="30" t="n">
        <x:v>41</x:v>
      </x:c>
      <x:c r="B42" s="30" t="str">
        <x:v>Deir Al-Zahrani</x:v>
      </x:c>
      <x:c r="C42" s="30" t="str">
        <x:v>مطعم واستراحة العين</x:v>
      </x:c>
      <x:c r="D42" s="30" t="str">
        <x:v>Family restaurant / resthouse</x:v>
      </x:c>
      <x:c r="E42" s="30" t="str">
        <x:v>Active - verified</x:v>
      </x:c>
      <x:c r="F42" s="30" t="str">
        <x:v>CFH8+4HP, Deir Al Zahrani</x:v>
      </x:c>
      <x:c r="G42" s="30" t="str">
        <x:v>+961 3 035 795</x:v>
      </x:c>
      <x:c r="H42" s="32" t="n">
        <x:v>5</x:v>
      </x:c>
      <x:c r="I42" s="34" t="n">
        <x:v>1</x:v>
      </x:c>
      <x:c r="J42" s="30" t="str">
        <x:v>Open 24 hours</x:v>
      </x:c>
      <x:c r="K42" s="30" t="str">
        <x:v>High</x:v>
      </x:c>
      <x:c r="L42" s="30" t="str">
        <x:v>Exact address</x:v>
      </x:c>
      <x:c r="M42" s="30" t="str">
        <x:v>Current local-business listing</x:v>
      </x:c>
      <x:c r="N42" s="30" t="str">
        <x:v>https://www.google.com/maps/search/?api=1&amp;query=%D9%85%D8%B7%D8%B9%D9%85+%D9%88%D8%A7%D8%B3%D8%AA%D8%B1%D8%A7%D8%AD%D8%A9+%D8%A7%D9%84%D8%B9%D9%8A%D9%86%2C+Deir+Al-Zahrani%2C+Lebanon</x:v>
      </x:c>
      <x:c r="O42" s="30" t="str">
        <x:v>https://www.google.com/maps/search/?api=1&amp;query=%D9%85%D8%B7%D8%B9%D9%85+%D9%88%D8%A7%D8%B3%D8%AA%D8%B1%D8%A7%D8%AD%D8%A9+%D8%A7%D9%84%D8%B9%D9%8A%D9%86%2C+Deir+Al-Zahrani%2C+Lebanon</x:v>
      </x:c>
      <x:c r="P42" s="30" t="str"/>
      <x:c r="Q42" s="30" t="str">
        <x:v>2026-09-07</x:v>
      </x:c>
    </x:row>
    <x:row r="43">
      <x:c r="A43" s="30" t="n">
        <x:v>42</x:v>
      </x:c>
      <x:c r="B43" s="30" t="str">
        <x:v>Doueir</x:v>
      </x:c>
      <x:c r="C43" s="30" t="str">
        <x:v>4 Ways Doueir</x:v>
      </x:c>
      <x:c r="D43" s="30" t="str">
        <x:v>Restaurant</x:v>
      </x:c>
      <x:c r="E43" s="30" t="str">
        <x:v>Listed current</x:v>
      </x:c>
      <x:c r="F43" s="30" t="str">
        <x:v>Doueir</x:v>
      </x:c>
      <x:c r="G43" s="30" t="str">
        <x:v>+961 3 786 315</x:v>
      </x:c>
      <x:c r="H43" s="32"/>
      <x:c r="I43" s="34"/>
      <x:c r="J43" s="30" t="str"/>
      <x:c r="K43" s="30" t="str">
        <x:v>Medium</x:v>
      </x:c>
      <x:c r="L43" s="30" t="str">
        <x:v>Business name/locality match</x:v>
      </x:c>
      <x:c r="M43" s="30" t="str">
        <x:v>Current digital menu / restaurant listing</x:v>
      </x:c>
      <x:c r="N43" s="30" t="str">
        <x:v>https://www.google.com/maps/search/?api=1&amp;query=4+Ways+Doueir%2C+Doueir%2C+Lebanon</x:v>
      </x:c>
      <x:c r="O43" s="30" t="str">
        <x:v>https://www.google.com/maps/search/?api=1&amp;query=4+Ways+Doueir%2C+Doueir%2C+Lebanon</x:v>
      </x:c>
      <x:c r="P43" s="30" t="str"/>
      <x:c r="Q43" s="30" t="str">
        <x:v>2026-09-07</x:v>
      </x:c>
    </x:row>
    <x:row r="44">
      <x:c r="A44" s="30" t="n">
        <x:v>43</x:v>
      </x:c>
      <x:c r="B44" s="30" t="str">
        <x:v>Doueir</x:v>
      </x:c>
      <x:c r="C44" s="30" t="str">
        <x:v>Ward Restaurant</x:v>
      </x:c>
      <x:c r="D44" s="30" t="str">
        <x:v>Restaurant</x:v>
      </x:c>
      <x:c r="E44" s="30" t="str">
        <x:v>Location conflict</x:v>
      </x:c>
      <x:c r="F44" s="30" t="str">
        <x:v>Behind Al Aytam Station; public address mentions Doueir, Ansar</x:v>
      </x:c>
      <x:c r="G44" s="30" t="str">
        <x:v>+961 70 572 200</x:v>
      </x:c>
      <x:c r="H44" s="32" t="n">
        <x:v>4.5</x:v>
      </x:c>
      <x:c r="I44" s="34" t="n">
        <x:v>44</x:v>
      </x:c>
      <x:c r="J44" s="30" t="str">
        <x:v>12:00–23:00 daily</x:v>
      </x:c>
      <x:c r="K44" s="30" t="str">
        <x:v>Medium</x:v>
      </x:c>
      <x:c r="L44" s="30" t="str">
        <x:v>Boundary wording</x:v>
      </x:c>
      <x:c r="M44" s="30" t="str">
        <x:v>Current local-business listing</x:v>
      </x:c>
      <x:c r="N44" s="30" t="str">
        <x:v>https://www.google.com/maps/search/?api=1&amp;query=Ward+Restaurant%2C+Doueir%2C+Lebanon</x:v>
      </x:c>
      <x:c r="O44" s="30" t="str">
        <x:v>https://www.google.com/maps/search/?api=1&amp;query=Ward+Restaurant%2C+Doueir%2C+Lebanon</x:v>
      </x:c>
      <x:c r="P44" s="30" t="str">
        <x:v>Address string includes both Doueir and Ansar; verify exact municipal boundary.</x:v>
      </x:c>
      <x:c r="Q44" s="30" t="str">
        <x:v>2026-09-07</x:v>
      </x:c>
    </x:row>
    <x:row r="45">
      <x:c r="A45" s="30" t="n">
        <x:v>44</x:v>
      </x:c>
      <x:c r="B45" s="30" t="str">
        <x:v>Habbouch</x:v>
      </x:c>
      <x:c r="C45" s="30" t="str">
        <x:v>Mandi Hadramout</x:v>
      </x:c>
      <x:c r="D45" s="30" t="str">
        <x:v>Restaurant</x:v>
      </x:c>
      <x:c r="E45" s="30" t="str">
        <x:v>Listed current</x:v>
      </x:c>
      <x:c r="F45" s="30" t="str">
        <x:v>Habbouch</x:v>
      </x:c>
      <x:c r="G45" s="30" t="str"/>
      <x:c r="H45" s="32"/>
      <x:c r="I45" s="34"/>
      <x:c r="J45" s="30" t="str"/>
      <x:c r="K45" s="30" t="str">
        <x:v>Medium</x:v>
      </x:c>
      <x:c r="L45" s="30" t="str">
        <x:v>Town catalogue</x:v>
      </x:c>
      <x:c r="M45" s="30" t="str">
        <x:v>WenRayhin Habbouch — listed open on Google</x:v>
      </x:c>
      <x:c r="N45" s="30" t="str">
        <x:v>https://wenrayhin.com/en/towns/habboush</x:v>
      </x:c>
      <x:c r="O45" s="30" t="str">
        <x:v>https://www.google.com/maps/search/?api=1&amp;query=Mandi+Hadramout%2C+Habbouch%2C+Lebanon</x:v>
      </x:c>
      <x:c r="P45" s="30" t="str"/>
      <x:c r="Q45" s="30" t="str">
        <x:v>2026-09-07</x:v>
      </x:c>
    </x:row>
    <x:row r="46">
      <x:c r="A46" s="30" t="n">
        <x:v>45</x:v>
      </x:c>
      <x:c r="B46" s="30" t="str">
        <x:v>Habbouch</x:v>
      </x:c>
      <x:c r="C46" s="30" t="str">
        <x:v>Abu Laban</x:v>
      </x:c>
      <x:c r="D46" s="30" t="str">
        <x:v>Restaurant</x:v>
      </x:c>
      <x:c r="E46" s="30" t="str">
        <x:v>Listed current</x:v>
      </x:c>
      <x:c r="F46" s="30" t="str">
        <x:v>Habbouch</x:v>
      </x:c>
      <x:c r="G46" s="30" t="str"/>
      <x:c r="H46" s="32"/>
      <x:c r="I46" s="34"/>
      <x:c r="J46" s="30" t="str"/>
      <x:c r="K46" s="30" t="str">
        <x:v>Medium</x:v>
      </x:c>
      <x:c r="L46" s="30" t="str">
        <x:v>Town catalogue</x:v>
      </x:c>
      <x:c r="M46" s="30" t="str">
        <x:v>WenRayhin Habbouch — listed open on Google</x:v>
      </x:c>
      <x:c r="N46" s="30" t="str">
        <x:v>https://wenrayhin.com/en/towns/habboush</x:v>
      </x:c>
      <x:c r="O46" s="30" t="str">
        <x:v>https://www.google.com/maps/search/?api=1&amp;query=Abu+Laban%2C+Habbouch%2C+Lebanon</x:v>
      </x:c>
      <x:c r="P46" s="30" t="str"/>
      <x:c r="Q46" s="30" t="str">
        <x:v>2026-09-07</x:v>
      </x:c>
    </x:row>
    <x:row r="47">
      <x:c r="A47" s="30" t="n">
        <x:v>46</x:v>
      </x:c>
      <x:c r="B47" s="30" t="str">
        <x:v>Habbouch</x:v>
      </x:c>
      <x:c r="C47" s="30" t="str">
        <x:v>Beit Al Tawabel</x:v>
      </x:c>
      <x:c r="D47" s="30" t="str">
        <x:v>Restaurant</x:v>
      </x:c>
      <x:c r="E47" s="30" t="str">
        <x:v>Listed current</x:v>
      </x:c>
      <x:c r="F47" s="30" t="str">
        <x:v>Habbouch</x:v>
      </x:c>
      <x:c r="G47" s="30" t="str"/>
      <x:c r="H47" s="32"/>
      <x:c r="I47" s="34"/>
      <x:c r="J47" s="30" t="str"/>
      <x:c r="K47" s="30" t="str">
        <x:v>Medium</x:v>
      </x:c>
      <x:c r="L47" s="30" t="str">
        <x:v>Town catalogue</x:v>
      </x:c>
      <x:c r="M47" s="30" t="str">
        <x:v>WenRayhin Habbouch — listed open on Google</x:v>
      </x:c>
      <x:c r="N47" s="30" t="str">
        <x:v>https://wenrayhin.com/en/towns/habboush</x:v>
      </x:c>
      <x:c r="O47" s="30" t="str">
        <x:v>https://www.google.com/maps/search/?api=1&amp;query=Beit+Al+Tawabel%2C+Habbouch%2C+Lebanon</x:v>
      </x:c>
      <x:c r="P47" s="30" t="str"/>
      <x:c r="Q47" s="30" t="str">
        <x:v>2026-09-07</x:v>
      </x:c>
    </x:row>
    <x:row r="48">
      <x:c r="A48" s="30" t="n">
        <x:v>47</x:v>
      </x:c>
      <x:c r="B48" s="30" t="str">
        <x:v>Habbouch</x:v>
      </x:c>
      <x:c r="C48" s="30" t="str">
        <x:v>Blu’ burgers</x:v>
      </x:c>
      <x:c r="D48" s="30" t="str">
        <x:v>Burger restaurant</x:v>
      </x:c>
      <x:c r="E48" s="30" t="str">
        <x:v>Listed current</x:v>
      </x:c>
      <x:c r="F48" s="30" t="str">
        <x:v>Habbouch</x:v>
      </x:c>
      <x:c r="G48" s="30" t="str"/>
      <x:c r="H48" s="32"/>
      <x:c r="I48" s="34"/>
      <x:c r="J48" s="30" t="str"/>
      <x:c r="K48" s="30" t="str">
        <x:v>Medium</x:v>
      </x:c>
      <x:c r="L48" s="30" t="str">
        <x:v>Town catalogue</x:v>
      </x:c>
      <x:c r="M48" s="30" t="str">
        <x:v>WenRayhin Habbouch — listed open on Google</x:v>
      </x:c>
      <x:c r="N48" s="30" t="str">
        <x:v>https://wenrayhin.com/en/towns/habboush</x:v>
      </x:c>
      <x:c r="O48" s="30" t="str">
        <x:v>https://www.google.com/maps/search/?api=1&amp;query=Blu%E2%80%99+burgers%2C+Habbouch%2C+Lebanon</x:v>
      </x:c>
      <x:c r="P48" s="30" t="str"/>
      <x:c r="Q48" s="30" t="str">
        <x:v>2026-09-07</x:v>
      </x:c>
    </x:row>
    <x:row r="49">
      <x:c r="A49" s="30" t="n">
        <x:v>48</x:v>
      </x:c>
      <x:c r="B49" s="30" t="str">
        <x:v>Habbouch</x:v>
      </x:c>
      <x:c r="C49" s="30" t="str">
        <x:v>blue fish (fish market and restaurant)</x:v>
      </x:c>
      <x:c r="D49" s="30" t="str">
        <x:v>Fish restaurant</x:v>
      </x:c>
      <x:c r="E49" s="30" t="str">
        <x:v>Listed current</x:v>
      </x:c>
      <x:c r="F49" s="30" t="str">
        <x:v>Habbouch</x:v>
      </x:c>
      <x:c r="G49" s="30" t="str"/>
      <x:c r="H49" s="32"/>
      <x:c r="I49" s="34"/>
      <x:c r="J49" s="30" t="str"/>
      <x:c r="K49" s="30" t="str">
        <x:v>Medium</x:v>
      </x:c>
      <x:c r="L49" s="30" t="str">
        <x:v>Town catalogue</x:v>
      </x:c>
      <x:c r="M49" s="30" t="str">
        <x:v>WenRayhin Habbouch — listed open on Google</x:v>
      </x:c>
      <x:c r="N49" s="30" t="str">
        <x:v>https://wenrayhin.com/en/towns/habboush</x:v>
      </x:c>
      <x:c r="O49" s="30" t="str">
        <x:v>https://www.google.com/maps/search/?api=1&amp;query=blue+fish+%28fish+market+and+restaurant%29%2C+Habbouch%2C+Lebanon</x:v>
      </x:c>
      <x:c r="P49" s="30" t="str"/>
      <x:c r="Q49" s="30" t="str">
        <x:v>2026-09-07</x:v>
      </x:c>
    </x:row>
    <x:row r="50">
      <x:c r="A50" s="30" t="n">
        <x:v>49</x:v>
      </x:c>
      <x:c r="B50" s="30" t="str">
        <x:v>Habbouch</x:v>
      </x:c>
      <x:c r="C50" s="30" t="str">
        <x:v>Chef Hossam</x:v>
      </x:c>
      <x:c r="D50" s="30" t="str">
        <x:v>Restaurant</x:v>
      </x:c>
      <x:c r="E50" s="30" t="str">
        <x:v>Listed current</x:v>
      </x:c>
      <x:c r="F50" s="30" t="str">
        <x:v>Habbouch</x:v>
      </x:c>
      <x:c r="G50" s="30" t="str"/>
      <x:c r="H50" s="32"/>
      <x:c r="I50" s="34"/>
      <x:c r="J50" s="30" t="str"/>
      <x:c r="K50" s="30" t="str">
        <x:v>Medium</x:v>
      </x:c>
      <x:c r="L50" s="30" t="str">
        <x:v>Town catalogue</x:v>
      </x:c>
      <x:c r="M50" s="30" t="str">
        <x:v>WenRayhin Habbouch — listed open on Google</x:v>
      </x:c>
      <x:c r="N50" s="30" t="str">
        <x:v>https://wenrayhin.com/en/towns/habboush</x:v>
      </x:c>
      <x:c r="O50" s="30" t="str">
        <x:v>https://www.google.com/maps/search/?api=1&amp;query=Chef+Hossam%2C+Habbouch%2C+Lebanon</x:v>
      </x:c>
      <x:c r="P50" s="30" t="str"/>
      <x:c r="Q50" s="30" t="str">
        <x:v>2026-09-07</x:v>
      </x:c>
    </x:row>
    <x:row r="51">
      <x:c r="A51" s="30" t="n">
        <x:v>50</x:v>
      </x:c>
      <x:c r="B51" s="30" t="str">
        <x:v>Habbouch</x:v>
      </x:c>
      <x:c r="C51" s="30" t="str">
        <x:v>Crispy Station</x:v>
      </x:c>
      <x:c r="D51" s="30" t="str">
        <x:v>Restaurant</x:v>
      </x:c>
      <x:c r="E51" s="30" t="str">
        <x:v>Listed current</x:v>
      </x:c>
      <x:c r="F51" s="30" t="str">
        <x:v>Habbouch</x:v>
      </x:c>
      <x:c r="G51" s="30" t="str"/>
      <x:c r="H51" s="32"/>
      <x:c r="I51" s="34"/>
      <x:c r="J51" s="30" t="str"/>
      <x:c r="K51" s="30" t="str">
        <x:v>Medium</x:v>
      </x:c>
      <x:c r="L51" s="30" t="str">
        <x:v>Town catalogue</x:v>
      </x:c>
      <x:c r="M51" s="30" t="str">
        <x:v>WenRayhin Habbouch — listed open on Google</x:v>
      </x:c>
      <x:c r="N51" s="30" t="str">
        <x:v>https://wenrayhin.com/en/towns/habboush</x:v>
      </x:c>
      <x:c r="O51" s="30" t="str">
        <x:v>https://www.google.com/maps/search/?api=1&amp;query=Crispy+Station%2C+Habbouch%2C+Lebanon</x:v>
      </x:c>
      <x:c r="P51" s="30" t="str"/>
      <x:c r="Q51" s="30" t="str">
        <x:v>2026-09-07</x:v>
      </x:c>
    </x:row>
    <x:row r="52">
      <x:c r="A52" s="30" t="n">
        <x:v>51</x:v>
      </x:c>
      <x:c r="B52" s="30" t="str">
        <x:v>Habbouch</x:v>
      </x:c>
      <x:c r="C52" s="30" t="str">
        <x:v>Haboush Restaurant</x:v>
      </x:c>
      <x:c r="D52" s="30" t="str">
        <x:v>Restaurant</x:v>
      </x:c>
      <x:c r="E52" s="30" t="str">
        <x:v>Listed current</x:v>
      </x:c>
      <x:c r="F52" s="30" t="str">
        <x:v>Habbouch</x:v>
      </x:c>
      <x:c r="G52" s="30" t="str"/>
      <x:c r="H52" s="32"/>
      <x:c r="I52" s="34"/>
      <x:c r="J52" s="30" t="str"/>
      <x:c r="K52" s="30" t="str">
        <x:v>Medium</x:v>
      </x:c>
      <x:c r="L52" s="30" t="str">
        <x:v>Town catalogue</x:v>
      </x:c>
      <x:c r="M52" s="30" t="str">
        <x:v>WenRayhin Habbouch — listed open on Google</x:v>
      </x:c>
      <x:c r="N52" s="30" t="str">
        <x:v>https://wenrayhin.com/en/towns/habboush</x:v>
      </x:c>
      <x:c r="O52" s="30" t="str">
        <x:v>https://www.google.com/maps/search/?api=1&amp;query=Haboush+Restaurant%2C+Habbouch%2C+Lebanon</x:v>
      </x:c>
      <x:c r="P52" s="30" t="str"/>
      <x:c r="Q52" s="30" t="str">
        <x:v>2026-09-07</x:v>
      </x:c>
    </x:row>
    <x:row r="53">
      <x:c r="A53" s="30" t="n">
        <x:v>52</x:v>
      </x:c>
      <x:c r="B53" s="30" t="str">
        <x:v>Habbouch</x:v>
      </x:c>
      <x:c r="C53" s="30" t="str">
        <x:v>JoyMondo</x:v>
      </x:c>
      <x:c r="D53" s="30" t="str">
        <x:v>Restaurant / family-play venue</x:v>
      </x:c>
      <x:c r="E53" s="30" t="str">
        <x:v>Listed current</x:v>
      </x:c>
      <x:c r="F53" s="30" t="str">
        <x:v>Habbouch</x:v>
      </x:c>
      <x:c r="G53" s="30" t="str"/>
      <x:c r="H53" s="32"/>
      <x:c r="I53" s="34"/>
      <x:c r="J53" s="30" t="str"/>
      <x:c r="K53" s="30" t="str">
        <x:v>Medium</x:v>
      </x:c>
      <x:c r="L53" s="30" t="str">
        <x:v>Town catalogue</x:v>
      </x:c>
      <x:c r="M53" s="30" t="str">
        <x:v>WenRayhin Habbouch — listed open on Google</x:v>
      </x:c>
      <x:c r="N53" s="30" t="str">
        <x:v>https://wenrayhin.com/en/towns/habboush</x:v>
      </x:c>
      <x:c r="O53" s="30" t="str">
        <x:v>https://www.google.com/maps/search/?api=1&amp;query=JoyMondo%2C+Habbouch%2C+Lebanon</x:v>
      </x:c>
      <x:c r="P53" s="30" t="str"/>
      <x:c r="Q53" s="30" t="str">
        <x:v>2026-09-07</x:v>
      </x:c>
    </x:row>
    <x:row r="54">
      <x:c r="A54" s="30" t="n">
        <x:v>53</x:v>
      </x:c>
      <x:c r="B54" s="30" t="str">
        <x:v>Habbouch</x:v>
      </x:c>
      <x:c r="C54" s="30" t="str">
        <x:v>Mataam Fayrouz</x:v>
      </x:c>
      <x:c r="D54" s="30" t="str">
        <x:v>Restaurant</x:v>
      </x:c>
      <x:c r="E54" s="30" t="str">
        <x:v>Listed current</x:v>
      </x:c>
      <x:c r="F54" s="30" t="str">
        <x:v>Habbouch</x:v>
      </x:c>
      <x:c r="G54" s="30" t="str"/>
      <x:c r="H54" s="32"/>
      <x:c r="I54" s="34"/>
      <x:c r="J54" s="30" t="str"/>
      <x:c r="K54" s="30" t="str">
        <x:v>Medium</x:v>
      </x:c>
      <x:c r="L54" s="30" t="str">
        <x:v>Town catalogue</x:v>
      </x:c>
      <x:c r="M54" s="30" t="str">
        <x:v>WenRayhin Habbouch — listed open on Google</x:v>
      </x:c>
      <x:c r="N54" s="30" t="str">
        <x:v>https://wenrayhin.com/en/towns/habboush</x:v>
      </x:c>
      <x:c r="O54" s="30" t="str">
        <x:v>https://www.google.com/maps/search/?api=1&amp;query=Mataam+Fayrouz%2C+Habbouch%2C+Lebanon</x:v>
      </x:c>
      <x:c r="P54" s="30" t="str"/>
      <x:c r="Q54" s="30" t="str">
        <x:v>2026-09-07</x:v>
      </x:c>
    </x:row>
    <x:row r="55">
      <x:c r="A55" s="30" t="n">
        <x:v>54</x:v>
      </x:c>
      <x:c r="B55" s="30" t="str">
        <x:v>Habbouch</x:v>
      </x:c>
      <x:c r="C55" s="30" t="str">
        <x:v>Mr Momos Restaurant</x:v>
      </x:c>
      <x:c r="D55" s="30" t="str">
        <x:v>Restaurant</x:v>
      </x:c>
      <x:c r="E55" s="30" t="str">
        <x:v>Listed current</x:v>
      </x:c>
      <x:c r="F55" s="30" t="str">
        <x:v>Habbouch</x:v>
      </x:c>
      <x:c r="G55" s="30" t="str"/>
      <x:c r="H55" s="32"/>
      <x:c r="I55" s="34"/>
      <x:c r="J55" s="30" t="str"/>
      <x:c r="K55" s="30" t="str">
        <x:v>Medium</x:v>
      </x:c>
      <x:c r="L55" s="30" t="str">
        <x:v>Town catalogue</x:v>
      </x:c>
      <x:c r="M55" s="30" t="str">
        <x:v>WenRayhin Habbouch — listed open on Google</x:v>
      </x:c>
      <x:c r="N55" s="30" t="str">
        <x:v>https://wenrayhin.com/en/towns/habboush</x:v>
      </x:c>
      <x:c r="O55" s="30" t="str">
        <x:v>https://www.google.com/maps/search/?api=1&amp;query=Mr+Momos+Restaurant%2C+Habbouch%2C+Lebanon</x:v>
      </x:c>
      <x:c r="P55" s="30" t="str"/>
      <x:c r="Q55" s="30" t="str">
        <x:v>2026-09-07</x:v>
      </x:c>
    </x:row>
    <x:row r="56">
      <x:c r="A56" s="30" t="n">
        <x:v>55</x:v>
      </x:c>
      <x:c r="B56" s="30" t="str">
        <x:v>Habbouch</x:v>
      </x:c>
      <x:c r="C56" s="30" t="str">
        <x:v>Pizza house</x:v>
      </x:c>
      <x:c r="D56" s="30" t="str">
        <x:v>Pizza restaurant</x:v>
      </x:c>
      <x:c r="E56" s="30" t="str">
        <x:v>Listed current</x:v>
      </x:c>
      <x:c r="F56" s="30" t="str">
        <x:v>Habbouch</x:v>
      </x:c>
      <x:c r="G56" s="30" t="str"/>
      <x:c r="H56" s="32"/>
      <x:c r="I56" s="34"/>
      <x:c r="J56" s="30" t="str"/>
      <x:c r="K56" s="30" t="str">
        <x:v>Medium</x:v>
      </x:c>
      <x:c r="L56" s="30" t="str">
        <x:v>Town catalogue</x:v>
      </x:c>
      <x:c r="M56" s="30" t="str">
        <x:v>WenRayhin Habbouch — listed open on Google</x:v>
      </x:c>
      <x:c r="N56" s="30" t="str">
        <x:v>https://wenrayhin.com/en/towns/habboush</x:v>
      </x:c>
      <x:c r="O56" s="30" t="str">
        <x:v>https://www.google.com/maps/search/?api=1&amp;query=Pizza+house%2C+Habbouch%2C+Lebanon</x:v>
      </x:c>
      <x:c r="P56" s="30" t="str"/>
      <x:c r="Q56" s="30" t="str">
        <x:v>2026-09-07</x:v>
      </x:c>
    </x:row>
    <x:row r="57">
      <x:c r="A57" s="30" t="n">
        <x:v>56</x:v>
      </x:c>
      <x:c r="B57" s="30" t="str">
        <x:v>Habbouch</x:v>
      </x:c>
      <x:c r="C57" s="30" t="str">
        <x:v>Shawarma Abo Abbas</x:v>
      </x:c>
      <x:c r="D57" s="30" t="str">
        <x:v>Restaurant / shawarma</x:v>
      </x:c>
      <x:c r="E57" s="30" t="str">
        <x:v>Listed current</x:v>
      </x:c>
      <x:c r="F57" s="30" t="str">
        <x:v>Habbouch</x:v>
      </x:c>
      <x:c r="G57" s="30" t="str"/>
      <x:c r="H57" s="32"/>
      <x:c r="I57" s="34"/>
      <x:c r="J57" s="30" t="str"/>
      <x:c r="K57" s="30" t="str">
        <x:v>Medium</x:v>
      </x:c>
      <x:c r="L57" s="30" t="str">
        <x:v>Town catalogue</x:v>
      </x:c>
      <x:c r="M57" s="30" t="str">
        <x:v>WenRayhin Habbouch — listed open on Google</x:v>
      </x:c>
      <x:c r="N57" s="30" t="str">
        <x:v>https://wenrayhin.com/en/towns/habboush</x:v>
      </x:c>
      <x:c r="O57" s="30" t="str">
        <x:v>https://www.google.com/maps/search/?api=1&amp;query=Shawarma+Abo+Abbas%2C+Habbouch%2C+Lebanon</x:v>
      </x:c>
      <x:c r="P57" s="30" t="str"/>
      <x:c r="Q57" s="30" t="str">
        <x:v>2026-09-07</x:v>
      </x:c>
    </x:row>
    <x:row r="58">
      <x:c r="A58" s="30" t="n">
        <x:v>57</x:v>
      </x:c>
      <x:c r="B58" s="30" t="str">
        <x:v>Habbouch</x:v>
      </x:c>
      <x:c r="C58" s="30" t="str">
        <x:v>Sub</x:v>
      </x:c>
      <x:c r="D58" s="30" t="str">
        <x:v>Restaurant</x:v>
      </x:c>
      <x:c r="E58" s="30" t="str">
        <x:v>Listed current</x:v>
      </x:c>
      <x:c r="F58" s="30" t="str">
        <x:v>Habbouch</x:v>
      </x:c>
      <x:c r="G58" s="30" t="str"/>
      <x:c r="H58" s="32"/>
      <x:c r="I58" s="34"/>
      <x:c r="J58" s="30" t="str"/>
      <x:c r="K58" s="30" t="str">
        <x:v>Medium</x:v>
      </x:c>
      <x:c r="L58" s="30" t="str">
        <x:v>Town catalogue</x:v>
      </x:c>
      <x:c r="M58" s="30" t="str">
        <x:v>WenRayhin Habbouch — listed open on Google</x:v>
      </x:c>
      <x:c r="N58" s="30" t="str">
        <x:v>https://wenrayhin.com/en/towns/habboush</x:v>
      </x:c>
      <x:c r="O58" s="30" t="str">
        <x:v>https://www.google.com/maps/search/?api=1&amp;query=Sub%2C+Habbouch%2C+Lebanon</x:v>
      </x:c>
      <x:c r="P58" s="30" t="str"/>
      <x:c r="Q58" s="30" t="str">
        <x:v>2026-09-07</x:v>
      </x:c>
    </x:row>
    <x:row r="59">
      <x:c r="A59" s="30" t="n">
        <x:v>58</x:v>
      </x:c>
      <x:c r="B59" s="30" t="str">
        <x:v>Habbouch</x:v>
      </x:c>
      <x:c r="C59" s="30" t="str">
        <x:v>Submarine Nabatieh</x:v>
      </x:c>
      <x:c r="D59" s="30" t="str">
        <x:v>Restaurant</x:v>
      </x:c>
      <x:c r="E59" s="30" t="str">
        <x:v>Listed current</x:v>
      </x:c>
      <x:c r="F59" s="30" t="str">
        <x:v>Habbouch</x:v>
      </x:c>
      <x:c r="G59" s="30" t="str"/>
      <x:c r="H59" s="32"/>
      <x:c r="I59" s="34"/>
      <x:c r="J59" s="30" t="str"/>
      <x:c r="K59" s="30" t="str">
        <x:v>Medium</x:v>
      </x:c>
      <x:c r="L59" s="30" t="str">
        <x:v>Town catalogue</x:v>
      </x:c>
      <x:c r="M59" s="30" t="str">
        <x:v>WenRayhin Habbouch — listed open on Google</x:v>
      </x:c>
      <x:c r="N59" s="30" t="str">
        <x:v>https://wenrayhin.com/en/towns/habboush</x:v>
      </x:c>
      <x:c r="O59" s="30" t="str">
        <x:v>https://www.google.com/maps/search/?api=1&amp;query=Submarine+Nabatieh%2C+Habbouch%2C+Lebanon</x:v>
      </x:c>
      <x:c r="P59" s="30" t="str"/>
      <x:c r="Q59" s="30" t="str">
        <x:v>2026-09-07</x:v>
      </x:c>
    </x:row>
    <x:row r="60">
      <x:c r="A60" s="30" t="n">
        <x:v>59</x:v>
      </x:c>
      <x:c r="B60" s="30" t="str">
        <x:v>Habbouch</x:v>
      </x:c>
      <x:c r="C60" s="30" t="str">
        <x:v>Tiba fine dining</x:v>
      </x:c>
      <x:c r="D60" s="30" t="str">
        <x:v>Restaurant</x:v>
      </x:c>
      <x:c r="E60" s="30" t="str">
        <x:v>Active - verified</x:v>
      </x:c>
      <x:c r="F60" s="30" t="str">
        <x:v>Habbouch</x:v>
      </x:c>
      <x:c r="G60" s="30" t="str">
        <x:v>+961 70 008 825</x:v>
      </x:c>
      <x:c r="H60" s="32" t="n">
        <x:v>4.4</x:v>
      </x:c>
      <x:c r="I60" s="34" t="n">
        <x:v>50</x:v>
      </x:c>
      <x:c r="J60" s="30" t="str"/>
      <x:c r="K60" s="30" t="str">
        <x:v>High</x:v>
      </x:c>
      <x:c r="L60" s="30" t="str">
        <x:v>Current map address = Habbouch</x:v>
      </x:c>
      <x:c r="M60" s="30" t="str">
        <x:v>Current local-business listing</x:v>
      </x:c>
      <x:c r="N60" s="30" t="str">
        <x:v>https://www.google.com/maps/search/?api=1&amp;query=Tiba+fine+dining%2C+Habbouch%2C+Lebanon</x:v>
      </x:c>
      <x:c r="O60" s="30" t="str">
        <x:v>https://www.google.com/maps/search/?api=1&amp;query=Tiba+fine+dining%2C+Habbouch%2C+Lebanon</x:v>
      </x:c>
      <x:c r="P60" s="30" t="str">
        <x:v>Broad Nabatieh town catalogues also surface this; current map address is Habbouch.</x:v>
      </x:c>
      <x:c r="Q60" s="30" t="str">
        <x:v>2026-09-07</x:v>
      </x:c>
    </x:row>
    <x:row r="61">
      <x:c r="A61" s="30" t="n">
        <x:v>60</x:v>
      </x:c>
      <x:c r="B61" s="30" t="str">
        <x:v>Harouf</x:v>
      </x:c>
      <x:c r="C61" s="30" t="str">
        <x:v>LIA'Z Fast Food</x:v>
      </x:c>
      <x:c r="D61" s="30" t="str">
        <x:v>Fast food restaurant</x:v>
      </x:c>
      <x:c r="E61" s="30" t="str">
        <x:v>Active - verified</x:v>
      </x:c>
      <x:c r="F61" s="30" t="str">
        <x:v>Marj Harouf main road, Harouf</x:v>
      </x:c>
      <x:c r="G61" s="30" t="str">
        <x:v>+961 70 521 140</x:v>
      </x:c>
      <x:c r="H61" s="32" t="n">
        <x:v>5</x:v>
      </x:c>
      <x:c r="I61" s="34" t="n">
        <x:v>11</x:v>
      </x:c>
      <x:c r="J61" s="30" t="str">
        <x:v>Mon–Wed 12:00–23:00; Thu/Sat/Sun to 00:00; Fri 14:00–00:00</x:v>
      </x:c>
      <x:c r="K61" s="30" t="str">
        <x:v>High</x:v>
      </x:c>
      <x:c r="L61" s="30" t="str">
        <x:v>Exact Harouf address</x:v>
      </x:c>
      <x:c r="M61" s="30" t="str">
        <x:v>Current local-business listing</x:v>
      </x:c>
      <x:c r="N61" s="30" t="str">
        <x:v>https://www.google.com/maps/search/?api=1&amp;query=LIA%27Z+Fast+Food%2C+Harouf%2C+Lebanon</x:v>
      </x:c>
      <x:c r="O61" s="30" t="str">
        <x:v>https://www.google.com/maps/search/?api=1&amp;query=LIA%27Z+Fast+Food%2C+Harouf%2C+Lebanon</x:v>
      </x:c>
      <x:c r="P61" s="30" t="str"/>
      <x:c r="Q61" s="30" t="str">
        <x:v>2026-09-07</x:v>
      </x:c>
    </x:row>
    <x:row r="62">
      <x:c r="A62" s="30" t="n">
        <x:v>61</x:v>
      </x:c>
      <x:c r="B62" s="30" t="str">
        <x:v>Harouf</x:v>
      </x:c>
      <x:c r="C62" s="30" t="str">
        <x:v>مطعم ماجد</x:v>
      </x:c>
      <x:c r="D62" s="30" t="str">
        <x:v>Restaurant</x:v>
      </x:c>
      <x:c r="E62" s="30" t="str">
        <x:v>Historical lead</x:v>
      </x:c>
      <x:c r="F62" s="30" t="str">
        <x:v>Harouf</x:v>
      </x:c>
      <x:c r="G62" s="30" t="str"/>
      <x:c r="H62" s="32"/>
      <x:c r="I62" s="34"/>
      <x:c r="J62" s="30" t="str"/>
      <x:c r="K62" s="30" t="str">
        <x:v>Low</x:v>
      </x:c>
      <x:c r="L62" s="30" t="str">
        <x:v>Historical food-safety record</x:v>
      </x:c>
      <x:c r="M62" s="30" t="str">
        <x:v>Lebanese Ministry of Public Health food-safety list (2015)</x:v>
      </x:c>
      <x:c r="N62" s="30" t="str">
        <x:v>https://moph.gov.lb/userfiles/files/FoodSafety/FoodSafety-List54.pdf</x:v>
      </x:c>
      <x:c r="O62" s="30" t="str">
        <x:v>https://www.google.com/maps/search/?api=1&amp;query=%D9%85%D8%B7%D8%B9%D9%85+%D9%85%D8%A7%D8%AC%D8%AF%2C+Harouf%2C+Lebanon</x:v>
      </x:c>
      <x:c r="P62" s="30" t="str">
        <x:v>A 2015 official food-safety record confirms a restaurant of this name in Harouf; current operation not verified.</x:v>
      </x:c>
      <x:c r="Q62" s="30" t="str">
        <x:v>2026-09-07</x:v>
      </x:c>
    </x:row>
    <x:row r="63">
      <x:c r="A63" s="30" t="n">
        <x:v>62</x:v>
      </x:c>
      <x:c r="B63" s="30" t="str">
        <x:v>Houmine Al-Fawqa</x:v>
      </x:c>
      <x:c r="C63" s="30" t="str">
        <x:v>AL-Habib RestoCafe</x:v>
      </x:c>
      <x:c r="D63" s="30" t="str">
        <x:v>Resto-cafe / restaurant-type venue</x:v>
      </x:c>
      <x:c r="E63" s="30" t="str">
        <x:v>Listed current</x:v>
      </x:c>
      <x:c r="F63" s="30" t="str">
        <x:v>Houmine El Faouqa</x:v>
      </x:c>
      <x:c r="G63" s="30" t="str"/>
      <x:c r="H63" s="32" t="n">
        <x:v>4.8</x:v>
      </x:c>
      <x:c r="I63" s="34" t="n">
        <x:v>6</x:v>
      </x:c>
      <x:c r="J63" s="30" t="str">
        <x:v>Approx. 16:00–00:00</x:v>
      </x:c>
      <x:c r="K63" s="30" t="str">
        <x:v>Medium</x:v>
      </x:c>
      <x:c r="L63" s="30" t="str">
        <x:v>Town / map locality</x:v>
      </x:c>
      <x:c r="M63" s="30" t="str">
        <x:v>Current town listing + prior map verification</x:v>
      </x:c>
      <x:c r="N63" s="30" t="str">
        <x:v>https://wenrayhin.com/en/towns/houmine-el-faouqa</x:v>
      </x:c>
      <x:c r="O63" s="30" t="str">
        <x:v>https://www.google.com/maps/search/?api=1&amp;query=AL-Habib+RestoCafe%2C+Houmine+Al-Fawqa%2C+Lebanon</x:v>
      </x:c>
      <x:c r="P63" s="30" t="str"/>
      <x:c r="Q63" s="30" t="str">
        <x:v>2026-09-07</x:v>
      </x:c>
    </x:row>
    <x:row r="64">
      <x:c r="A64" s="30" t="n">
        <x:v>63</x:v>
      </x:c>
      <x:c r="B64" s="30" t="str">
        <x:v>Jarjouh / Jargea</x:v>
      </x:c>
      <x:c r="C64" s="30" t="str">
        <x:v>Frouj wa Mashawi Abu Ali</x:v>
      </x:c>
      <x:c r="D64" s="30" t="str">
        <x:v>Chicken / grills restaurant</x:v>
      </x:c>
      <x:c r="E64" s="30" t="str">
        <x:v>Listed current</x:v>
      </x:c>
      <x:c r="F64" s="30" t="str">
        <x:v>Jarjouaa</x:v>
      </x:c>
      <x:c r="G64" s="30" t="str">
        <x:v>+961 3 019 513</x:v>
      </x:c>
      <x:c r="H64" s="32" t="n">
        <x:v>4.8</x:v>
      </x:c>
      <x:c r="I64" s="34" t="n">
        <x:v>19</x:v>
      </x:c>
      <x:c r="J64" s="30" t="str">
        <x:v>Approx. 11:30–00:00</x:v>
      </x:c>
      <x:c r="K64" s="30" t="str">
        <x:v>High</x:v>
      </x:c>
      <x:c r="L64" s="30" t="str">
        <x:v>Current town catalogue + exact current map listing</x:v>
      </x:c>
      <x:c r="M64" s="30" t="str">
        <x:v>WenRayhin Jarjouaa + local-business listing</x:v>
      </x:c>
      <x:c r="N64" s="30" t="str">
        <x:v>https://wenrayhin.com/en/towns/jarjouaa</x:v>
      </x:c>
      <x:c r="O64" s="30" t="str">
        <x:v>https://www.google.com/maps/search/?api=1&amp;query=Frouj+wa+Mashawi+Abu+Ali%2C+Jarjouh+%2F+Jargea%2C+Lebanon</x:v>
      </x:c>
      <x:c r="P64" s="30" t="str"/>
      <x:c r="Q64" s="30" t="str">
        <x:v>2026-09-07</x:v>
      </x:c>
    </x:row>
    <x:row r="65">
      <x:c r="A65" s="30" t="n">
        <x:v>64</x:v>
      </x:c>
      <x:c r="B65" s="30" t="str">
        <x:v>Jarjouh / Jargea</x:v>
      </x:c>
      <x:c r="C65" s="30" t="str">
        <x:v>Frank's B.B.Q.</x:v>
      </x:c>
      <x:c r="D65" s="30" t="str">
        <x:v>Street food / BBQ</x:v>
      </x:c>
      <x:c r="E65" s="30" t="str">
        <x:v>Listed current</x:v>
      </x:c>
      <x:c r="F65" s="30" t="str">
        <x:v>Jarjouaa</x:v>
      </x:c>
      <x:c r="G65" s="30" t="str"/>
      <x:c r="H65" s="32"/>
      <x:c r="I65" s="34"/>
      <x:c r="J65" s="30" t="str"/>
      <x:c r="K65" s="30" t="str">
        <x:v>Medium</x:v>
      </x:c>
      <x:c r="L65" s="30" t="str">
        <x:v>Town catalogue</x:v>
      </x:c>
      <x:c r="M65" s="30" t="str">
        <x:v>WenRayhin Jarjouaa — listed open on Google</x:v>
      </x:c>
      <x:c r="N65" s="30" t="str">
        <x:v>https://wenrayhin.com/en/towns/jarjouaa</x:v>
      </x:c>
      <x:c r="O65" s="30" t="str">
        <x:v>https://www.google.com/maps/search/?api=1&amp;query=Frank%27s+B.B.Q.%2C+Jarjouh+%2F+Jargea%2C+Lebanon</x:v>
      </x:c>
      <x:c r="P65" s="30" t="str"/>
      <x:c r="Q65" s="30" t="str">
        <x:v>2026-09-07</x:v>
      </x:c>
    </x:row>
    <x:row r="66">
      <x:c r="A66" s="30" t="n">
        <x:v>65</x:v>
      </x:c>
      <x:c r="B66" s="30" t="str">
        <x:v>Jbaa–Ain Bouswar</x:v>
      </x:c>
      <x:c r="C66" s="30" t="str">
        <x:v>ABWAB Resto Cafe</x:v>
      </x:c>
      <x:c r="D66" s="30" t="str">
        <x:v>Resto-cafe / restaurant</x:v>
      </x:c>
      <x:c r="E66" s="30" t="str">
        <x:v>Active - verified</x:v>
      </x:c>
      <x:c r="F66" s="30" t="str">
        <x:v>Wadi Kafara, Jbaa</x:v>
      </x:c>
      <x:c r="G66" s="30" t="str">
        <x:v>+961 81 811 070</x:v>
      </x:c>
      <x:c r="H66" s="32" t="n">
        <x:v>4.7</x:v>
      </x:c>
      <x:c r="I66" s="34" t="n">
        <x:v>44</x:v>
      </x:c>
      <x:c r="J66" s="30" t="str">
        <x:v>09:00–00:00 daily</x:v>
      </x:c>
      <x:c r="K66" s="30" t="str">
        <x:v>High</x:v>
      </x:c>
      <x:c r="L66" s="30" t="str">
        <x:v>Exact Jbaa address</x:v>
      </x:c>
      <x:c r="M66" s="30" t="str">
        <x:v>Current local-business listing</x:v>
      </x:c>
      <x:c r="N66" s="30" t="str">
        <x:v>https://www.google.com/maps/search/?api=1&amp;query=ABWAB+Resto+Cafe%2C+Jbaa%E2%80%93Ain+Bouswar%2C+Lebanon</x:v>
      </x:c>
      <x:c r="O66" s="30" t="str">
        <x:v>https://www.google.com/maps/search/?api=1&amp;query=ABWAB+Resto+Cafe%2C+Jbaa%E2%80%93Ain+Bouswar%2C+Lebanon</x:v>
      </x:c>
      <x:c r="P66" s="30" t="str"/>
      <x:c r="Q66" s="30" t="str">
        <x:v>2026-09-07</x:v>
      </x:c>
    </x:row>
    <x:row r="67">
      <x:c r="A67" s="30" t="n">
        <x:v>66</x:v>
      </x:c>
      <x:c r="B67" s="30" t="str">
        <x:v>Jbaa–Ain Bouswar</x:v>
      </x:c>
      <x:c r="C67" s="30" t="str">
        <x:v>استراحة و صاج ابن البلد</x:v>
      </x:c>
      <x:c r="D67" s="30" t="str">
        <x:v>Resthouse / saj restaurant</x:v>
      </x:c>
      <x:c r="E67" s="30" t="str">
        <x:v>Active - verified</x:v>
      </x:c>
      <x:c r="F67" s="30" t="str">
        <x:v>FGQ9+JFC, Jbaa</x:v>
      </x:c>
      <x:c r="G67" s="30" t="str">
        <x:v>+961 70 827 271</x:v>
      </x:c>
      <x:c r="H67" s="32" t="n">
        <x:v>4.7</x:v>
      </x:c>
      <x:c r="I67" s="34" t="n">
        <x:v>33</x:v>
      </x:c>
      <x:c r="J67" s="30" t="str"/>
      <x:c r="K67" s="30" t="str">
        <x:v>High</x:v>
      </x:c>
      <x:c r="L67" s="30" t="str">
        <x:v>Exact Jbaa address</x:v>
      </x:c>
      <x:c r="M67" s="30" t="str">
        <x:v>Current local-business listing</x:v>
      </x:c>
      <x:c r="N67" s="30" t="str">
        <x:v>https://www.google.com/maps/search/?api=1&amp;query=%D8%A7%D8%B3%D8%AA%D8%B1%D8%A7%D8%AD%D8%A9+%D9%88+%D8%B5%D8%A7%D8%AC+%D8%A7%D8%A8%D9%86+%D8%A7%D9%84%D8%A8%D9%84%D8%AF%2C+Jbaa%E2%80%93Ain+Bouswar%2C+Lebanon</x:v>
      </x:c>
      <x:c r="O67" s="30" t="str">
        <x:v>https://www.google.com/maps/search/?api=1&amp;query=%D8%A7%D8%B3%D8%AA%D8%B1%D8%A7%D8%AD%D8%A9+%D9%88+%D8%B5%D8%A7%D8%AC+%D8%A7%D8%A8%D9%86+%D8%A7%D9%84%D8%A8%D9%84%D8%AF%2C+Jbaa%E2%80%93Ain+Bouswar%2C+Lebanon</x:v>
      </x:c>
      <x:c r="P67" s="30" t="str"/>
      <x:c r="Q67" s="30" t="str">
        <x:v>2026-09-07</x:v>
      </x:c>
    </x:row>
    <x:row r="68">
      <x:c r="A68" s="30" t="n">
        <x:v>67</x:v>
      </x:c>
      <x:c r="B68" s="30" t="str">
        <x:v>Jbaa–Ain Bouswar</x:v>
      </x:c>
      <x:c r="C68" s="30" t="str">
        <x:v>مطعم نبع القبي | Al Qby Resto</x:v>
      </x:c>
      <x:c r="D68" s="30" t="str">
        <x:v>Restaurant</x:v>
      </x:c>
      <x:c r="E68" s="30" t="str">
        <x:v>Active - verified</x:v>
      </x:c>
      <x:c r="F68" s="30" t="str">
        <x:v>FGJ9+5XR, Jbaa</x:v>
      </x:c>
      <x:c r="G68" s="30" t="str">
        <x:v>+961 71 271 399</x:v>
      </x:c>
      <x:c r="H68" s="32" t="n">
        <x:v>3.5</x:v>
      </x:c>
      <x:c r="I68" s="34" t="n">
        <x:v>10</x:v>
      </x:c>
      <x:c r="J68" s="30" t="str">
        <x:v>12:00–00:00</x:v>
      </x:c>
      <x:c r="K68" s="30" t="str">
        <x:v>High</x:v>
      </x:c>
      <x:c r="L68" s="30" t="str">
        <x:v>Exact Jbaa address</x:v>
      </x:c>
      <x:c r="M68" s="30" t="str">
        <x:v>Current restaurant directory + local-business evidence</x:v>
      </x:c>
      <x:c r="N68" s="30" t="str">
        <x:v>https://www.mideastarchives.biz/LB/%D9%85%D8%B7%D8%B9%D9%85-%D9%86%D8%A8%D8%B9-%D8%A7%D9%84%D9%82%D8%A8%D9%8A-%7C-al-qby-resto-71-271-399</x:v>
      </x:c>
      <x:c r="O68" s="30" t="str">
        <x:v>https://www.google.com/maps/search/?api=1&amp;query=%D9%85%D8%B7%D8%B9%D9%85+%D9%86%D8%A8%D8%B9+%D8%A7%D9%84%D9%82%D8%A8%D9%8A+%7C+Al+Qby+Resto%2C+Jbaa%E2%80%93Ain+Bouswar%2C+Lebanon</x:v>
      </x:c>
      <x:c r="P68" s="30" t="str"/>
      <x:c r="Q68" s="30" t="str">
        <x:v>2026-09-07</x:v>
      </x:c>
    </x:row>
    <x:row r="69">
      <x:c r="A69" s="30" t="n">
        <x:v>68</x:v>
      </x:c>
      <x:c r="B69" s="30" t="str">
        <x:v>Jbaa–Ain Bouswar</x:v>
      </x:c>
      <x:c r="C69" s="30" t="str">
        <x:v>Al-Marjeh Restaurant</x:v>
      </x:c>
      <x:c r="D69" s="30" t="str">
        <x:v>Restaurant / resthouse</x:v>
      </x:c>
      <x:c r="E69" s="30" t="str">
        <x:v>Historical lead</x:v>
      </x:c>
      <x:c r="F69" s="30" t="str">
        <x:v>Jbaa / Ain Bouswar area</x:v>
      </x:c>
      <x:c r="G69" s="30" t="str">
        <x:v>+961 3 352 026</x:v>
      </x:c>
      <x:c r="H69" s="32"/>
      <x:c r="I69" s="34"/>
      <x:c r="J69" s="30" t="str"/>
      <x:c r="K69" s="30" t="str">
        <x:v>Low</x:v>
      </x:c>
      <x:c r="L69" s="30" t="str">
        <x:v>Historical tourism guide</x:v>
      </x:c>
      <x:c r="M69" s="30" t="str">
        <x:v>Destination Lebanon Nabatieh guide (2004)</x:v>
      </x:c>
      <x:c r="N69" s="30" t="str">
        <x:v>https://www.destinationlebanon.com/download-sub/destleb/nabatieh.pdf</x:v>
      </x:c>
      <x:c r="O69" s="30" t="str">
        <x:v>https://www.google.com/maps/search/?api=1&amp;query=Al-Marjeh+Restaurant%2C+Jbaa%E2%80%93Ain+Bouswar%2C+Lebanon</x:v>
      </x:c>
      <x:c r="P69" s="30" t="str">
        <x:v>Historical lead only; current operation not verified.</x:v>
      </x:c>
      <x:c r="Q69" s="30" t="str">
        <x:v>2026-09-07</x:v>
      </x:c>
    </x:row>
    <x:row r="70">
      <x:c r="A70" s="30" t="n">
        <x:v>69</x:v>
      </x:c>
      <x:c r="B70" s="30" t="str">
        <x:v>Jbaa–Ain Bouswar</x:v>
      </x:c>
      <x:c r="C70" s="30" t="str">
        <x:v>Al-Qabyi Resthouse &amp; Park</x:v>
      </x:c>
      <x:c r="D70" s="30" t="str">
        <x:v>Restaurant / resthouse</x:v>
      </x:c>
      <x:c r="E70" s="30" t="str">
        <x:v>Historical lead</x:v>
      </x:c>
      <x:c r="F70" s="30" t="str">
        <x:v>Jbaa / Ain Bouswar area</x:v>
      </x:c>
      <x:c r="G70" s="30" t="str">
        <x:v>+961 3 889 144</x:v>
      </x:c>
      <x:c r="H70" s="32"/>
      <x:c r="I70" s="34"/>
      <x:c r="J70" s="30" t="str"/>
      <x:c r="K70" s="30" t="str">
        <x:v>Low</x:v>
      </x:c>
      <x:c r="L70" s="30" t="str">
        <x:v>Historical tourism guide</x:v>
      </x:c>
      <x:c r="M70" s="30" t="str">
        <x:v>Destination Lebanon Nabatieh guide (2004)</x:v>
      </x:c>
      <x:c r="N70" s="30" t="str">
        <x:v>https://www.destinationlebanon.com/download-sub/destleb/nabatieh.pdf</x:v>
      </x:c>
      <x:c r="O70" s="30" t="str">
        <x:v>https://www.google.com/maps/search/?api=1&amp;query=Al-Qabyi+Resthouse+%26+Park%2C+Jbaa%E2%80%93Ain+Bouswar%2C+Lebanon</x:v>
      </x:c>
      <x:c r="P70" s="30" t="str">
        <x:v>Historical lead only; current operation not verified.</x:v>
      </x:c>
      <x:c r="Q70" s="30" t="str">
        <x:v>2026-09-07</x:v>
      </x:c>
    </x:row>
    <x:row r="71">
      <x:c r="A71" s="30" t="n">
        <x:v>70</x:v>
      </x:c>
      <x:c r="B71" s="30" t="str">
        <x:v>Jbaa–Ain Bouswar</x:v>
      </x:c>
      <x:c r="C71" s="30" t="str">
        <x:v>Nabi’l A’akita Resthouse</x:v>
      </x:c>
      <x:c r="D71" s="30" t="str">
        <x:v>Restaurant / resthouse</x:v>
      </x:c>
      <x:c r="E71" s="30" t="str">
        <x:v>Historical lead</x:v>
      </x:c>
      <x:c r="F71" s="30" t="str">
        <x:v>Jbaa / Ain Bouswar area</x:v>
      </x:c>
      <x:c r="G71" s="30" t="str"/>
      <x:c r="H71" s="32"/>
      <x:c r="I71" s="34"/>
      <x:c r="J71" s="30" t="str"/>
      <x:c r="K71" s="30" t="str">
        <x:v>Low</x:v>
      </x:c>
      <x:c r="L71" s="30" t="str">
        <x:v>Historical tourism guide</x:v>
      </x:c>
      <x:c r="M71" s="30" t="str">
        <x:v>Destination Lebanon Nabatieh guide (2004)</x:v>
      </x:c>
      <x:c r="N71" s="30" t="str">
        <x:v>https://www.destinationlebanon.com/download-sub/destleb/nabatieh.pdf</x:v>
      </x:c>
      <x:c r="O71" s="30" t="str">
        <x:v>https://www.google.com/maps/search/?api=1&amp;query=Nabi%E2%80%99l+A%E2%80%99akita+Resthouse%2C+Jbaa%E2%80%93Ain+Bouswar%2C+Lebanon</x:v>
      </x:c>
      <x:c r="P71" s="30" t="str">
        <x:v>Historical lead only; current operation not verified.</x:v>
      </x:c>
      <x:c r="Q71" s="30" t="str">
        <x:v>2026-09-07</x:v>
      </x:c>
    </x:row>
    <x:row r="72">
      <x:c r="A72" s="30" t="n">
        <x:v>71</x:v>
      </x:c>
      <x:c r="B72" s="30" t="str">
        <x:v>Jbaa–Ain Bouswar</x:v>
      </x:c>
      <x:c r="C72" s="30" t="str">
        <x:v>Casino Jeba’a</x:v>
      </x:c>
      <x:c r="D72" s="30" t="str">
        <x:v>Restaurant / resthouse</x:v>
      </x:c>
      <x:c r="E72" s="30" t="str">
        <x:v>Historical lead</x:v>
      </x:c>
      <x:c r="F72" s="30" t="str">
        <x:v>Jbaa / Ain Bouswar area</x:v>
      </x:c>
      <x:c r="G72" s="30" t="str">
        <x:v>+961 7 210 720</x:v>
      </x:c>
      <x:c r="H72" s="32"/>
      <x:c r="I72" s="34"/>
      <x:c r="J72" s="30" t="str"/>
      <x:c r="K72" s="30" t="str">
        <x:v>Low</x:v>
      </x:c>
      <x:c r="L72" s="30" t="str">
        <x:v>Historical tourism guide</x:v>
      </x:c>
      <x:c r="M72" s="30" t="str">
        <x:v>Destination Lebanon Nabatieh guide (2004)</x:v>
      </x:c>
      <x:c r="N72" s="30" t="str">
        <x:v>https://www.destinationlebanon.com/download-sub/destleb/nabatieh.pdf</x:v>
      </x:c>
      <x:c r="O72" s="30" t="str">
        <x:v>https://www.google.com/maps/search/?api=1&amp;query=Casino+Jeba%E2%80%99a%2C+Jbaa%E2%80%93Ain+Bouswar%2C+Lebanon</x:v>
      </x:c>
      <x:c r="P72" s="30" t="str">
        <x:v>Historical lead only; current operation not verified.</x:v>
      </x:c>
      <x:c r="Q72" s="30" t="str">
        <x:v>2026-09-07</x:v>
      </x:c>
    </x:row>
    <x:row r="73">
      <x:c r="A73" s="30" t="n">
        <x:v>72</x:v>
      </x:c>
      <x:c r="B73" s="30" t="str">
        <x:v>Jbaa–Ain Bouswar</x:v>
      </x:c>
      <x:c r="C73" s="30" t="str">
        <x:v>Arouss Jeba’a Restaurant</x:v>
      </x:c>
      <x:c r="D73" s="30" t="str">
        <x:v>Restaurant / resthouse</x:v>
      </x:c>
      <x:c r="E73" s="30" t="str">
        <x:v>Historical lead</x:v>
      </x:c>
      <x:c r="F73" s="30" t="str">
        <x:v>Jbaa / Ain Bouswar area</x:v>
      </x:c>
      <x:c r="G73" s="30" t="str"/>
      <x:c r="H73" s="32"/>
      <x:c r="I73" s="34"/>
      <x:c r="J73" s="30" t="str"/>
      <x:c r="K73" s="30" t="str">
        <x:v>Low</x:v>
      </x:c>
      <x:c r="L73" s="30" t="str">
        <x:v>Historical tourism guide</x:v>
      </x:c>
      <x:c r="M73" s="30" t="str">
        <x:v>Destination Lebanon Nabatieh guide (2004)</x:v>
      </x:c>
      <x:c r="N73" s="30" t="str">
        <x:v>https://www.destinationlebanon.com/download-sub/destleb/nabatieh.pdf</x:v>
      </x:c>
      <x:c r="O73" s="30" t="str">
        <x:v>https://www.google.com/maps/search/?api=1&amp;query=Arouss+Jeba%E2%80%99a+Restaurant%2C+Jbaa%E2%80%93Ain+Bouswar%2C+Lebanon</x:v>
      </x:c>
      <x:c r="P73" s="30" t="str">
        <x:v>Historical lead only; current operation not verified.</x:v>
      </x:c>
      <x:c r="Q73" s="30" t="str">
        <x:v>2026-09-07</x:v>
      </x:c>
    </x:row>
    <x:row r="74">
      <x:c r="A74" s="30" t="n">
        <x:v>73</x:v>
      </x:c>
      <x:c r="B74" s="30" t="str">
        <x:v>Jbaa–Ain Bouswar</x:v>
      </x:c>
      <x:c r="C74" s="30" t="str">
        <x:v>Al-Sanawbar Restaurant</x:v>
      </x:c>
      <x:c r="D74" s="30" t="str">
        <x:v>Restaurant / resthouse</x:v>
      </x:c>
      <x:c r="E74" s="30" t="str">
        <x:v>Historical lead</x:v>
      </x:c>
      <x:c r="F74" s="30" t="str">
        <x:v>Jbaa / Ain Bouswar area</x:v>
      </x:c>
      <x:c r="G74" s="30" t="str"/>
      <x:c r="H74" s="32"/>
      <x:c r="I74" s="34"/>
      <x:c r="J74" s="30" t="str"/>
      <x:c r="K74" s="30" t="str">
        <x:v>Low</x:v>
      </x:c>
      <x:c r="L74" s="30" t="str">
        <x:v>Historical tourism guide</x:v>
      </x:c>
      <x:c r="M74" s="30" t="str">
        <x:v>Destination Lebanon Nabatieh guide (2004)</x:v>
      </x:c>
      <x:c r="N74" s="30" t="str">
        <x:v>https://www.destinationlebanon.com/download-sub/destleb/nabatieh.pdf</x:v>
      </x:c>
      <x:c r="O74" s="30" t="str">
        <x:v>https://www.google.com/maps/search/?api=1&amp;query=Al-Sanawbar+Restaurant%2C+Jbaa%E2%80%93Ain+Bouswar%2C+Lebanon</x:v>
      </x:c>
      <x:c r="P74" s="30" t="str">
        <x:v>Historical lead only; current operation not verified.</x:v>
      </x:c>
      <x:c r="Q74" s="30" t="str">
        <x:v>2026-09-07</x:v>
      </x:c>
    </x:row>
    <x:row r="75">
      <x:c r="A75" s="30" t="n">
        <x:v>74</x:v>
      </x:c>
      <x:c r="B75" s="30" t="str">
        <x:v>Jibchit</x:v>
      </x:c>
      <x:c r="C75" s="30" t="str">
        <x:v>مشاوي الساحة Mashawi El Seha</x:v>
      </x:c>
      <x:c r="D75" s="30" t="str">
        <x:v>Restaurant / grills</x:v>
      </x:c>
      <x:c r="E75" s="30" t="str">
        <x:v>Active - verified</x:v>
      </x:c>
      <x:c r="F75" s="30" t="str">
        <x:v>9C8Q+V22, Jibchit</x:v>
      </x:c>
      <x:c r="G75" s="30" t="str">
        <x:v>+961 79 103 963</x:v>
      </x:c>
      <x:c r="H75" s="32" t="n">
        <x:v>5</x:v>
      </x:c>
      <x:c r="I75" s="34" t="n">
        <x:v>1</x:v>
      </x:c>
      <x:c r="J75" s="30" t="str">
        <x:v>Tue–Sun 12:00–00:00</x:v>
      </x:c>
      <x:c r="K75" s="30" t="str">
        <x:v>High</x:v>
      </x:c>
      <x:c r="L75" s="30" t="str">
        <x:v>Exact Jibchit address</x:v>
      </x:c>
      <x:c r="M75" s="30" t="str">
        <x:v>Current local-business listing</x:v>
      </x:c>
      <x:c r="N75" s="30" t="str">
        <x:v>https://www.google.com/maps/search/?api=1&amp;query=%D9%85%D8%B4%D8%A7%D9%88%D9%8A+%D8%A7%D9%84%D8%B3%D8%A7%D8%AD%D8%A9+Mashawi+El+Seha%2C+Jibchit%2C+Lebanon</x:v>
      </x:c>
      <x:c r="O75" s="30" t="str">
        <x:v>https://www.google.com/maps/search/?api=1&amp;query=%D9%85%D8%B4%D8%A7%D9%88%D9%8A+%D8%A7%D9%84%D8%B3%D8%A7%D8%AD%D8%A9+Mashawi+El+Seha%2C+Jibchit%2C+Lebanon</x:v>
      </x:c>
      <x:c r="P75" s="30" t="str"/>
      <x:c r="Q75" s="30" t="str">
        <x:v>2026-09-07</x:v>
      </x:c>
    </x:row>
    <x:row r="76">
      <x:c r="A76" s="30" t="n">
        <x:v>75</x:v>
      </x:c>
      <x:c r="B76" s="30" t="str">
        <x:v>Jibchit</x:v>
      </x:c>
      <x:c r="C76" s="30" t="str">
        <x:v>مطعم الجنوب</x:v>
      </x:c>
      <x:c r="D76" s="30" t="str">
        <x:v>Restaurant</x:v>
      </x:c>
      <x:c r="E76" s="30" t="str">
        <x:v>Active - verified</x:v>
      </x:c>
      <x:c r="F76" s="30" t="str">
        <x:v>9C8M+55R, Jibchit</x:v>
      </x:c>
      <x:c r="G76" s="30" t="str">
        <x:v>+961 76 127 261</x:v>
      </x:c>
      <x:c r="H76" s="32" t="n">
        <x:v>5</x:v>
      </x:c>
      <x:c r="I76" s="34" t="n">
        <x:v>1</x:v>
      </x:c>
      <x:c r="J76" s="30" t="str"/>
      <x:c r="K76" s="30" t="str">
        <x:v>High</x:v>
      </x:c>
      <x:c r="L76" s="30" t="str">
        <x:v>Exact Jibchit address</x:v>
      </x:c>
      <x:c r="M76" s="30" t="str">
        <x:v>Current local-business listing</x:v>
      </x:c>
      <x:c r="N76" s="30" t="str">
        <x:v>https://www.google.com/maps/search/?api=1&amp;query=%D9%85%D8%B7%D8%B9%D9%85+%D8%A7%D9%84%D8%AC%D9%86%D9%88%D8%A8%2C+Jibchit%2C+Lebanon</x:v>
      </x:c>
      <x:c r="O76" s="30" t="str">
        <x:v>https://www.google.com/maps/search/?api=1&amp;query=%D9%85%D8%B7%D8%B9%D9%85+%D8%A7%D9%84%D8%AC%D9%86%D9%88%D8%A8%2C+Jibchit%2C+Lebanon</x:v>
      </x:c>
      <x:c r="P76" s="30" t="str"/>
      <x:c r="Q76" s="30" t="str">
        <x:v>2026-09-07</x:v>
      </x:c>
    </x:row>
    <x:row r="77">
      <x:c r="A77" s="30" t="n">
        <x:v>76</x:v>
      </x:c>
      <x:c r="B77" s="30" t="str">
        <x:v>Kaakaiyet Al-Jisr</x:v>
      </x:c>
      <x:c r="C77" s="30" t="str">
        <x:v>Mai w Fai</x:v>
      </x:c>
      <x:c r="D77" s="30" t="str">
        <x:v>Resort restaurant</x:v>
      </x:c>
      <x:c r="E77" s="30" t="str">
        <x:v>Listed current</x:v>
      </x:c>
      <x:c r="F77" s="30" t="str">
        <x:v>Qaaqaaiyet El Jisr / Litani area</x:v>
      </x:c>
      <x:c r="G77" s="30" t="str">
        <x:v>+961 3 128 075</x:v>
      </x:c>
      <x:c r="H77" s="32"/>
      <x:c r="I77" s="34"/>
      <x:c r="J77" s="30" t="str">
        <x:v>Listed open 24 hours</x:v>
      </x:c>
      <x:c r="K77" s="30" t="str">
        <x:v>Medium</x:v>
      </x:c>
      <x:c r="L77" s="30" t="str">
        <x:v>Exact locality directory</x:v>
      </x:c>
      <x:c r="M77" s="30" t="str">
        <x:v>BizMidEast</x:v>
      </x:c>
      <x:c r="N77" s="30" t="str">
        <x:v>https://www.bizmideast.com/LB/mai-w-fai-03-128-075</x:v>
      </x:c>
      <x:c r="O77" s="30" t="str">
        <x:v>https://www.google.com/maps/search/?api=1&amp;query=Mai+w+Fai%2C+Kaakaiyet+Al-Jisr%2C+Lebanon</x:v>
      </x:c>
      <x:c r="P77" s="30" t="str">
        <x:v>Resort with restaurant/pool/kids area; retained as a restaurant-type venue.</x:v>
      </x:c>
      <x:c r="Q77" s="30" t="str">
        <x:v>2026-09-07</x:v>
      </x:c>
    </x:row>
    <x:row r="78">
      <x:c r="A78" s="30" t="n">
        <x:v>77</x:v>
      </x:c>
      <x:c r="B78" s="30" t="str">
        <x:v>Kafr Roummane</x:v>
      </x:c>
      <x:c r="C78" s="30" t="str">
        <x:v>ventus</x:v>
      </x:c>
      <x:c r="D78" s="30" t="str">
        <x:v>Restaurant</x:v>
      </x:c>
      <x:c r="E78" s="30" t="str">
        <x:v>Listed current</x:v>
      </x:c>
      <x:c r="F78" s="30" t="str">
        <x:v>Kafr Rumman / Kfar Roummane</x:v>
      </x:c>
      <x:c r="G78" s="30" t="str"/>
      <x:c r="H78" s="32"/>
      <x:c r="I78" s="34"/>
      <x:c r="J78" s="30" t="str"/>
      <x:c r="K78" s="30" t="str">
        <x:v>Medium</x:v>
      </x:c>
      <x:c r="L78" s="30" t="str">
        <x:v>Town catalogue</x:v>
      </x:c>
      <x:c r="M78" s="30" t="str">
        <x:v>WenRayhin Kafr Rumman — listed open on Google</x:v>
      </x:c>
      <x:c r="N78" s="30" t="str">
        <x:v>https://wenrayhin.com/en/towns/kafr-rumman</x:v>
      </x:c>
      <x:c r="O78" s="30" t="str">
        <x:v>https://www.google.com/maps/search/?api=1&amp;query=ventus%2C+Kafr+Roummane%2C+Lebanon</x:v>
      </x:c>
      <x:c r="P78" s="30" t="str"/>
      <x:c r="Q78" s="30" t="str">
        <x:v>2026-09-07</x:v>
      </x:c>
    </x:row>
    <x:row r="79">
      <x:c r="A79" s="30" t="n">
        <x:v>78</x:v>
      </x:c>
      <x:c r="B79" s="30" t="str">
        <x:v>Kafr Roummane</x:v>
      </x:c>
      <x:c r="C79" s="30" t="str">
        <x:v>Mataam Abu Mahmoud</x:v>
      </x:c>
      <x:c r="D79" s="30" t="str">
        <x:v>Restaurant</x:v>
      </x:c>
      <x:c r="E79" s="30" t="str">
        <x:v>Listed current</x:v>
      </x:c>
      <x:c r="F79" s="30" t="str">
        <x:v>Kafr Rumman / Kfar Roummane</x:v>
      </x:c>
      <x:c r="G79" s="30" t="str"/>
      <x:c r="H79" s="32"/>
      <x:c r="I79" s="34"/>
      <x:c r="J79" s="30" t="str"/>
      <x:c r="K79" s="30" t="str">
        <x:v>Medium</x:v>
      </x:c>
      <x:c r="L79" s="30" t="str">
        <x:v>Town catalogue</x:v>
      </x:c>
      <x:c r="M79" s="30" t="str">
        <x:v>WenRayhin Kafr Rumman — listed open on Google</x:v>
      </x:c>
      <x:c r="N79" s="30" t="str">
        <x:v>https://wenrayhin.com/en/towns/kafr-rumman</x:v>
      </x:c>
      <x:c r="O79" s="30" t="str">
        <x:v>https://www.google.com/maps/search/?api=1&amp;query=Mataam+Abu+Mahmoud%2C+Kafr+Roummane%2C+Lebanon</x:v>
      </x:c>
      <x:c r="P79" s="30" t="str"/>
      <x:c r="Q79" s="30" t="str">
        <x:v>2026-09-07</x:v>
      </x:c>
    </x:row>
    <x:row r="80">
      <x:c r="A80" s="30" t="n">
        <x:v>79</x:v>
      </x:c>
      <x:c r="B80" s="30" t="str">
        <x:v>Kafr Roummane</x:v>
      </x:c>
      <x:c r="C80" s="30" t="str">
        <x:v>Bros&amp;Buns</x:v>
      </x:c>
      <x:c r="D80" s="30" t="str">
        <x:v>Restaurant</x:v>
      </x:c>
      <x:c r="E80" s="30" t="str">
        <x:v>Listed current</x:v>
      </x:c>
      <x:c r="F80" s="30" t="str">
        <x:v>Kafr Rumman / Kfar Roummane</x:v>
      </x:c>
      <x:c r="G80" s="30" t="str"/>
      <x:c r="H80" s="32"/>
      <x:c r="I80" s="34"/>
      <x:c r="J80" s="30" t="str"/>
      <x:c r="K80" s="30" t="str">
        <x:v>Medium</x:v>
      </x:c>
      <x:c r="L80" s="30" t="str">
        <x:v>Town catalogue</x:v>
      </x:c>
      <x:c r="M80" s="30" t="str">
        <x:v>WenRayhin Kafr Rumman — listed open on Google</x:v>
      </x:c>
      <x:c r="N80" s="30" t="str">
        <x:v>https://wenrayhin.com/en/towns/kafr-rumman</x:v>
      </x:c>
      <x:c r="O80" s="30" t="str">
        <x:v>https://www.google.com/maps/search/?api=1&amp;query=Bros%26Buns%2C+Kafr+Roummane%2C+Lebanon</x:v>
      </x:c>
      <x:c r="P80" s="30" t="str"/>
      <x:c r="Q80" s="30" t="str">
        <x:v>2026-09-07</x:v>
      </x:c>
    </x:row>
    <x:row r="81">
      <x:c r="A81" s="30" t="n">
        <x:v>80</x:v>
      </x:c>
      <x:c r="B81" s="30" t="str">
        <x:v>Kafr Roummane</x:v>
      </x:c>
      <x:c r="C81" s="30" t="str">
        <x:v>Burger time</x:v>
      </x:c>
      <x:c r="D81" s="30" t="str">
        <x:v>Restaurant</x:v>
      </x:c>
      <x:c r="E81" s="30" t="str">
        <x:v>Listed current</x:v>
      </x:c>
      <x:c r="F81" s="30" t="str">
        <x:v>Kafr Rumman / Kfar Roummane</x:v>
      </x:c>
      <x:c r="G81" s="30" t="str"/>
      <x:c r="H81" s="32"/>
      <x:c r="I81" s="34"/>
      <x:c r="J81" s="30" t="str"/>
      <x:c r="K81" s="30" t="str">
        <x:v>Medium</x:v>
      </x:c>
      <x:c r="L81" s="30" t="str">
        <x:v>Town catalogue</x:v>
      </x:c>
      <x:c r="M81" s="30" t="str">
        <x:v>WenRayhin Kafr Rumman — listed open on Google</x:v>
      </x:c>
      <x:c r="N81" s="30" t="str">
        <x:v>https://wenrayhin.com/en/towns/kafr-rumman</x:v>
      </x:c>
      <x:c r="O81" s="30" t="str">
        <x:v>https://www.google.com/maps/search/?api=1&amp;query=Burger+time%2C+Kafr+Roummane%2C+Lebanon</x:v>
      </x:c>
      <x:c r="P81" s="30" t="str"/>
      <x:c r="Q81" s="30" t="str">
        <x:v>2026-09-07</x:v>
      </x:c>
    </x:row>
    <x:row r="82">
      <x:c r="A82" s="30" t="n">
        <x:v>81</x:v>
      </x:c>
      <x:c r="B82" s="30" t="str">
        <x:v>Kafr Roummane</x:v>
      </x:c>
      <x:c r="C82" s="30" t="str">
        <x:v>CHRONIC Burger Joint.</x:v>
      </x:c>
      <x:c r="D82" s="30" t="str">
        <x:v>Burger restaurant</x:v>
      </x:c>
      <x:c r="E82" s="30" t="str">
        <x:v>Listed current</x:v>
      </x:c>
      <x:c r="F82" s="30" t="str">
        <x:v>Kafr Rumman / Kfar Roummane</x:v>
      </x:c>
      <x:c r="G82" s="30" t="str"/>
      <x:c r="H82" s="32"/>
      <x:c r="I82" s="34"/>
      <x:c r="J82" s="30" t="str"/>
      <x:c r="K82" s="30" t="str">
        <x:v>Medium</x:v>
      </x:c>
      <x:c r="L82" s="30" t="str">
        <x:v>Town catalogue</x:v>
      </x:c>
      <x:c r="M82" s="30" t="str">
        <x:v>WenRayhin Kafr Rumman — listed open on Google</x:v>
      </x:c>
      <x:c r="N82" s="30" t="str">
        <x:v>https://wenrayhin.com/en/towns/kafr-rumman</x:v>
      </x:c>
      <x:c r="O82" s="30" t="str">
        <x:v>https://www.google.com/maps/search/?api=1&amp;query=CHRONIC+Burger+Joint.%2C+Kafr+Roummane%2C+Lebanon</x:v>
      </x:c>
      <x:c r="P82" s="30" t="str"/>
      <x:c r="Q82" s="30" t="str">
        <x:v>2026-09-07</x:v>
      </x:c>
    </x:row>
    <x:row r="83">
      <x:c r="A83" s="30" t="n">
        <x:v>82</x:v>
      </x:c>
      <x:c r="B83" s="30" t="str">
        <x:v>Kafr Roummane</x:v>
      </x:c>
      <x:c r="C83" s="30" t="str">
        <x:v>Haidar Chicken</x:v>
      </x:c>
      <x:c r="D83" s="30" t="str">
        <x:v>Chicken restaurant</x:v>
      </x:c>
      <x:c r="E83" s="30" t="str">
        <x:v>Listed current</x:v>
      </x:c>
      <x:c r="F83" s="30" t="str">
        <x:v>Kafr Rumman / Kfar Roummane</x:v>
      </x:c>
      <x:c r="G83" s="30" t="str"/>
      <x:c r="H83" s="32"/>
      <x:c r="I83" s="34"/>
      <x:c r="J83" s="30" t="str"/>
      <x:c r="K83" s="30" t="str">
        <x:v>Medium</x:v>
      </x:c>
      <x:c r="L83" s="30" t="str">
        <x:v>Town catalogue</x:v>
      </x:c>
      <x:c r="M83" s="30" t="str">
        <x:v>WenRayhin Kafr Rumman — listed open on Google</x:v>
      </x:c>
      <x:c r="N83" s="30" t="str">
        <x:v>https://wenrayhin.com/en/towns/kafr-rumman</x:v>
      </x:c>
      <x:c r="O83" s="30" t="str">
        <x:v>https://www.google.com/maps/search/?api=1&amp;query=Haidar+Chicken%2C+Kafr+Roummane%2C+Lebanon</x:v>
      </x:c>
      <x:c r="P83" s="30" t="str"/>
      <x:c r="Q83" s="30" t="str">
        <x:v>2026-09-07</x:v>
      </x:c>
    </x:row>
    <x:row r="84">
      <x:c r="A84" s="30" t="n">
        <x:v>83</x:v>
      </x:c>
      <x:c r="B84" s="30" t="str">
        <x:v>Kafr Roummane</x:v>
      </x:c>
      <x:c r="C84" s="30" t="str">
        <x:v>Jamaica Hotdog Kfaromen</x:v>
      </x:c>
      <x:c r="D84" s="30" t="str">
        <x:v>Restaurant / hot dog</x:v>
      </x:c>
      <x:c r="E84" s="30" t="str">
        <x:v>Listed current</x:v>
      </x:c>
      <x:c r="F84" s="30" t="str">
        <x:v>Kafr Rumman / Kfar Roummane</x:v>
      </x:c>
      <x:c r="G84" s="30" t="str"/>
      <x:c r="H84" s="32"/>
      <x:c r="I84" s="34"/>
      <x:c r="J84" s="30" t="str"/>
      <x:c r="K84" s="30" t="str">
        <x:v>Medium</x:v>
      </x:c>
      <x:c r="L84" s="30" t="str">
        <x:v>Town catalogue</x:v>
      </x:c>
      <x:c r="M84" s="30" t="str">
        <x:v>WenRayhin Kafr Rumman — listed open on Google</x:v>
      </x:c>
      <x:c r="N84" s="30" t="str">
        <x:v>https://wenrayhin.com/en/towns/kafr-rumman</x:v>
      </x:c>
      <x:c r="O84" s="30" t="str">
        <x:v>https://www.google.com/maps/search/?api=1&amp;query=Jamaica+Hotdog+Kfaromen%2C+Kafr+Roummane%2C+Lebanon</x:v>
      </x:c>
      <x:c r="P84" s="30" t="str"/>
      <x:c r="Q84" s="30" t="str">
        <x:v>2026-09-07</x:v>
      </x:c>
    </x:row>
    <x:row r="85">
      <x:c r="A85" s="30" t="n">
        <x:v>84</x:v>
      </x:c>
      <x:c r="B85" s="30" t="str">
        <x:v>Kafr Roummane</x:v>
      </x:c>
      <x:c r="C85" s="30" t="str">
        <x:v>Mataam Baytouti</x:v>
      </x:c>
      <x:c r="D85" s="30" t="str">
        <x:v>Restaurant</x:v>
      </x:c>
      <x:c r="E85" s="30" t="str">
        <x:v>Listed current</x:v>
      </x:c>
      <x:c r="F85" s="30" t="str">
        <x:v>Kafr Rumman / Kfar Roummane</x:v>
      </x:c>
      <x:c r="G85" s="30" t="str"/>
      <x:c r="H85" s="32"/>
      <x:c r="I85" s="34"/>
      <x:c r="J85" s="30" t="str"/>
      <x:c r="K85" s="30" t="str">
        <x:v>Medium</x:v>
      </x:c>
      <x:c r="L85" s="30" t="str">
        <x:v>Town catalogue</x:v>
      </x:c>
      <x:c r="M85" s="30" t="str">
        <x:v>WenRayhin Kafr Rumman — listed open on Google</x:v>
      </x:c>
      <x:c r="N85" s="30" t="str">
        <x:v>https://wenrayhin.com/en/towns/kafr-rumman</x:v>
      </x:c>
      <x:c r="O85" s="30" t="str">
        <x:v>https://www.google.com/maps/search/?api=1&amp;query=Mataam+Baytouti%2C+Kafr+Roummane%2C+Lebanon</x:v>
      </x:c>
      <x:c r="P85" s="30" t="str"/>
      <x:c r="Q85" s="30" t="str">
        <x:v>2026-09-07</x:v>
      </x:c>
    </x:row>
    <x:row r="86">
      <x:c r="A86" s="30" t="n">
        <x:v>85</x:v>
      </x:c>
      <x:c r="B86" s="30" t="str">
        <x:v>Kafr Roummane</x:v>
      </x:c>
      <x:c r="C86" s="30" t="str">
        <x:v>Mataam w Teras Qamriye</x:v>
      </x:c>
      <x:c r="D86" s="30" t="str">
        <x:v>Restaurant</x:v>
      </x:c>
      <x:c r="E86" s="30" t="str">
        <x:v>Listed current</x:v>
      </x:c>
      <x:c r="F86" s="30" t="str">
        <x:v>Kafr Rumman / Kfar Roummane</x:v>
      </x:c>
      <x:c r="G86" s="30" t="str"/>
      <x:c r="H86" s="32"/>
      <x:c r="I86" s="34"/>
      <x:c r="J86" s="30" t="str"/>
      <x:c r="K86" s="30" t="str">
        <x:v>Medium</x:v>
      </x:c>
      <x:c r="L86" s="30" t="str">
        <x:v>Town catalogue</x:v>
      </x:c>
      <x:c r="M86" s="30" t="str">
        <x:v>WenRayhin Kafr Rumman — listed open on Google</x:v>
      </x:c>
      <x:c r="N86" s="30" t="str">
        <x:v>https://wenrayhin.com/en/towns/kafr-rumman</x:v>
      </x:c>
      <x:c r="O86" s="30" t="str">
        <x:v>https://www.google.com/maps/search/?api=1&amp;query=Mataam+w+Teras+Qamriye%2C+Kafr+Roummane%2C+Lebanon</x:v>
      </x:c>
      <x:c r="P86" s="30" t="str"/>
      <x:c r="Q86" s="30" t="str">
        <x:v>2026-09-07</x:v>
      </x:c>
    </x:row>
    <x:row r="87">
      <x:c r="A87" s="30" t="n">
        <x:v>86</x:v>
      </x:c>
      <x:c r="B87" s="30" t="str">
        <x:v>Kafr Roummane</x:v>
      </x:c>
      <x:c r="C87" s="30" t="str">
        <x:v>Number 1</x:v>
      </x:c>
      <x:c r="D87" s="30" t="str">
        <x:v>Restaurant</x:v>
      </x:c>
      <x:c r="E87" s="30" t="str">
        <x:v>Listed current</x:v>
      </x:c>
      <x:c r="F87" s="30" t="str">
        <x:v>Kafr Rumman / Kfar Roummane</x:v>
      </x:c>
      <x:c r="G87" s="30" t="str"/>
      <x:c r="H87" s="32"/>
      <x:c r="I87" s="34"/>
      <x:c r="J87" s="30" t="str"/>
      <x:c r="K87" s="30" t="str">
        <x:v>Medium</x:v>
      </x:c>
      <x:c r="L87" s="30" t="str">
        <x:v>Town catalogue</x:v>
      </x:c>
      <x:c r="M87" s="30" t="str">
        <x:v>WenRayhin Kafr Rumman — listed open on Google</x:v>
      </x:c>
      <x:c r="N87" s="30" t="str">
        <x:v>https://wenrayhin.com/en/towns/kafr-rumman</x:v>
      </x:c>
      <x:c r="O87" s="30" t="str">
        <x:v>https://www.google.com/maps/search/?api=1&amp;query=Number+1%2C+Kafr+Roummane%2C+Lebanon</x:v>
      </x:c>
      <x:c r="P87" s="30" t="str"/>
      <x:c r="Q87" s="30" t="str">
        <x:v>2026-09-07</x:v>
      </x:c>
    </x:row>
    <x:row r="88">
      <x:c r="A88" s="30" t="n">
        <x:v>87</x:v>
      </x:c>
      <x:c r="B88" s="30" t="str">
        <x:v>Kafr Roummane</x:v>
      </x:c>
      <x:c r="C88" s="30" t="str">
        <x:v>THE BEEF HOUSE</x:v>
      </x:c>
      <x:c r="D88" s="30" t="str">
        <x:v>American restaurant</x:v>
      </x:c>
      <x:c r="E88" s="30" t="str">
        <x:v>Listed current</x:v>
      </x:c>
      <x:c r="F88" s="30" t="str">
        <x:v>Kafr Rumman / Kfar Roummane</x:v>
      </x:c>
      <x:c r="G88" s="30" t="str"/>
      <x:c r="H88" s="32"/>
      <x:c r="I88" s="34"/>
      <x:c r="J88" s="30" t="str"/>
      <x:c r="K88" s="30" t="str">
        <x:v>Medium</x:v>
      </x:c>
      <x:c r="L88" s="30" t="str">
        <x:v>Town catalogue</x:v>
      </x:c>
      <x:c r="M88" s="30" t="str">
        <x:v>WenRayhin Kafr Rumman — listed open on Google</x:v>
      </x:c>
      <x:c r="N88" s="30" t="str">
        <x:v>https://wenrayhin.com/en/towns/kafr-rumman</x:v>
      </x:c>
      <x:c r="O88" s="30" t="str">
        <x:v>https://www.google.com/maps/search/?api=1&amp;query=THE+BEEF+HOUSE%2C+Kafr+Roummane%2C+Lebanon</x:v>
      </x:c>
      <x:c r="P88" s="30" t="str"/>
      <x:c r="Q88" s="30" t="str">
        <x:v>2026-09-07</x:v>
      </x:c>
    </x:row>
    <x:row r="89">
      <x:c r="A89" s="30" t="n">
        <x:v>88</x:v>
      </x:c>
      <x:c r="B89" s="30" t="str">
        <x:v>Kafr Roummane</x:v>
      </x:c>
      <x:c r="C89" s="30" t="str">
        <x:v>Zaytuna Resto Cafe</x:v>
      </x:c>
      <x:c r="D89" s="30" t="str">
        <x:v>Restaurant / resto-cafe</x:v>
      </x:c>
      <x:c r="E89" s="30" t="str">
        <x:v>Listed current</x:v>
      </x:c>
      <x:c r="F89" s="30" t="str">
        <x:v>Kafr Rumman / Kfar Roummane</x:v>
      </x:c>
      <x:c r="G89" s="30" t="str"/>
      <x:c r="H89" s="32"/>
      <x:c r="I89" s="34"/>
      <x:c r="J89" s="30" t="str"/>
      <x:c r="K89" s="30" t="str">
        <x:v>Medium</x:v>
      </x:c>
      <x:c r="L89" s="30" t="str">
        <x:v>Town catalogue</x:v>
      </x:c>
      <x:c r="M89" s="30" t="str">
        <x:v>WenRayhin Kafr Rumman — listed open on Google</x:v>
      </x:c>
      <x:c r="N89" s="30" t="str">
        <x:v>https://wenrayhin.com/en/towns/kafr-rumman</x:v>
      </x:c>
      <x:c r="O89" s="30" t="str">
        <x:v>https://www.google.com/maps/search/?api=1&amp;query=Zaytuna+Resto+Cafe%2C+Kafr+Roummane%2C+Lebanon</x:v>
      </x:c>
      <x:c r="P89" s="30" t="str"/>
      <x:c r="Q89" s="30" t="str">
        <x:v>2026-09-07</x:v>
      </x:c>
    </x:row>
    <x:row r="90">
      <x:c r="A90" s="30" t="n">
        <x:v>89</x:v>
      </x:c>
      <x:c r="B90" s="30" t="str">
        <x:v>Kafr Roummane</x:v>
      </x:c>
      <x:c r="C90" s="30" t="str">
        <x:v>Mr.k Burgers</x:v>
      </x:c>
      <x:c r="D90" s="30" t="str">
        <x:v>Street food / burger</x:v>
      </x:c>
      <x:c r="E90" s="30" t="str">
        <x:v>Listed current</x:v>
      </x:c>
      <x:c r="F90" s="30" t="str">
        <x:v>Kafr Rumman / Kfar Roummane</x:v>
      </x:c>
      <x:c r="G90" s="30" t="str"/>
      <x:c r="H90" s="32"/>
      <x:c r="I90" s="34"/>
      <x:c r="J90" s="30" t="str"/>
      <x:c r="K90" s="30" t="str">
        <x:v>Medium</x:v>
      </x:c>
      <x:c r="L90" s="30" t="str">
        <x:v>Town catalogue</x:v>
      </x:c>
      <x:c r="M90" s="30" t="str">
        <x:v>WenRayhin Kafr Rumman — listed open on Google</x:v>
      </x:c>
      <x:c r="N90" s="30" t="str">
        <x:v>https://wenrayhin.com/en/towns/kafr-rumman</x:v>
      </x:c>
      <x:c r="O90" s="30" t="str">
        <x:v>https://www.google.com/maps/search/?api=1&amp;query=Mr.k+Burgers%2C+Kafr+Roummane%2C+Lebanon</x:v>
      </x:c>
      <x:c r="P90" s="30" t="str"/>
      <x:c r="Q90" s="30" t="str">
        <x:v>2026-09-07</x:v>
      </x:c>
    </x:row>
    <x:row r="91">
      <x:c r="A91" s="30" t="n">
        <x:v>90</x:v>
      </x:c>
      <x:c r="B91" s="30" t="str">
        <x:v>Kafr Roummane</x:v>
      </x:c>
      <x:c r="C91" s="30" t="str">
        <x:v>Al Sanabel Restaurant</x:v>
      </x:c>
      <x:c r="D91" s="30" t="str">
        <x:v>Lebanese restaurant</x:v>
      </x:c>
      <x:c r="E91" s="30" t="str">
        <x:v>Active - verified</x:v>
      </x:c>
      <x:c r="F91" s="30" t="str">
        <x:v>Imam Sayyed Moussa Al-Sadr Highway, Kfar Roummane</x:v>
      </x:c>
      <x:c r="G91" s="30" t="str">
        <x:v>+961 71 919 819</x:v>
      </x:c>
      <x:c r="H91" s="32" t="n">
        <x:v>4.8</x:v>
      </x:c>
      <x:c r="I91" s="34" t="n">
        <x:v>519</x:v>
      </x:c>
      <x:c r="J91" s="30" t="str">
        <x:v>08:00–00:00 daily</x:v>
      </x:c>
      <x:c r="K91" s="30" t="str">
        <x:v>High</x:v>
      </x:c>
      <x:c r="L91" s="30" t="str">
        <x:v>Exact Kfar Roummane address</x:v>
      </x:c>
      <x:c r="M91" s="30" t="str">
        <x:v>Current local-business listing</x:v>
      </x:c>
      <x:c r="N91" s="30" t="str">
        <x:v>https://www.google.com/maps/search/?api=1&amp;query=Al+Sanabel+Restaurant%2C+Kfar+Roummane%2C+Lebanon</x:v>
      </x:c>
      <x:c r="O91" s="30" t="str">
        <x:v>https://www.google.com/maps/search/?api=1&amp;query=Al+Sanabel+Restaurant%2C+Kafr+Roummane%2C+Lebanon</x:v>
      </x:c>
      <x:c r="P91" s="30" t="str">
        <x:v>Moved out of the broad Nabatieh bucket because current map address is Kfar Roummane.</x:v>
      </x:c>
      <x:c r="Q91" s="30" t="str">
        <x:v>2026-09-07</x:v>
      </x:c>
    </x:row>
    <x:row r="92">
      <x:c r="A92" s="30" t="n">
        <x:v>91</x:v>
      </x:c>
      <x:c r="B92" s="30" t="str">
        <x:v>Kafr Roummane</x:v>
      </x:c>
      <x:c r="C92" s="30" t="str">
        <x:v>Bas Shawarma Kafarrouman Branch</x:v>
      </x:c>
      <x:c r="D92" s="30" t="str">
        <x:v>Shawarma restaurant</x:v>
      </x:c>
      <x:c r="E92" s="30" t="str">
        <x:v>Active - verified</x:v>
      </x:c>
      <x:c r="F92" s="30" t="str">
        <x:v>Kfar Rouman Highway</x:v>
      </x:c>
      <x:c r="G92" s="30" t="str">
        <x:v>+961 7 761 654</x:v>
      </x:c>
      <x:c r="H92" s="32" t="n">
        <x:v>4.4</x:v>
      </x:c>
      <x:c r="I92" s="34" t="n">
        <x:v>130</x:v>
      </x:c>
      <x:c r="J92" s="30" t="str">
        <x:v>11:00–00:30 daily</x:v>
      </x:c>
      <x:c r="K92" s="30" t="str">
        <x:v>High</x:v>
      </x:c>
      <x:c r="L92" s="30" t="str">
        <x:v>Exact Kfar Roummane branch</x:v>
      </x:c>
      <x:c r="M92" s="30" t="str">
        <x:v>Current local-business listing</x:v>
      </x:c>
      <x:c r="N92" s="30" t="str">
        <x:v>https://www.google.com/maps/search/?api=1&amp;query=Bas+Shawarma+Kafarrouman+Branch%2C+Kafr+Roummane%2C+Lebanon</x:v>
      </x:c>
      <x:c r="O92" s="30" t="str">
        <x:v>https://www.google.com/maps/search/?api=1&amp;query=Bas+Shawarma+Kafarrouman+Branch%2C+Kafr+Roummane%2C+Lebanon</x:v>
      </x:c>
      <x:c r="P92" s="30" t="str"/>
      <x:c r="Q92" s="30" t="str">
        <x:v>2026-09-07</x:v>
      </x:c>
    </x:row>
    <x:row r="93">
      <x:c r="A93" s="30" t="n">
        <x:v>92</x:v>
      </x:c>
      <x:c r="B93" s="30" t="str">
        <x:v>Kafr Roummane</x:v>
      </x:c>
      <x:c r="C93" s="30" t="str">
        <x:v>Ashta w Aasal</x:v>
      </x:c>
      <x:c r="D93" s="30" t="str">
        <x:v>Dessert restaurant</x:v>
      </x:c>
      <x:c r="E93" s="30" t="str">
        <x:v>Active - verified</x:v>
      </x:c>
      <x:c r="F93" s="30" t="str">
        <x:v>Kafarrouman Main Road</x:v>
      </x:c>
      <x:c r="G93" s="30" t="str">
        <x:v>+961 3 762 641</x:v>
      </x:c>
      <x:c r="H93" s="32" t="n">
        <x:v>4.4</x:v>
      </x:c>
      <x:c r="I93" s="34" t="n">
        <x:v>53</x:v>
      </x:c>
      <x:c r="J93" s="30" t="str"/>
      <x:c r="K93" s="30" t="str">
        <x:v>High</x:v>
      </x:c>
      <x:c r="L93" s="30" t="str">
        <x:v>Exact Kfar Roummane address</x:v>
      </x:c>
      <x:c r="M93" s="30" t="str">
        <x:v>Current local-business listing</x:v>
      </x:c>
      <x:c r="N93" s="30" t="str">
        <x:v>https://www.google.com/maps/search/?api=1&amp;query=Ashta+w+Aasal%2C+Kafr+Roummane%2C+Lebanon</x:v>
      </x:c>
      <x:c r="O93" s="30" t="str">
        <x:v>https://www.google.com/maps/search/?api=1&amp;query=Ashta+w+Aasal%2C+Kafr+Roummane%2C+Lebanon</x:v>
      </x:c>
      <x:c r="P93" s="30" t="str"/>
      <x:c r="Q93" s="30" t="str">
        <x:v>2026-09-07</x:v>
      </x:c>
    </x:row>
    <x:row r="94">
      <x:c r="A94" s="30" t="n">
        <x:v>93</x:v>
      </x:c>
      <x:c r="B94" s="30" t="str">
        <x:v>Kafr Roummane</x:v>
      </x:c>
      <x:c r="C94" s="30" t="str">
        <x:v>Su sushi</x:v>
      </x:c>
      <x:c r="D94" s="30" t="str">
        <x:v>Sushi restaurant</x:v>
      </x:c>
      <x:c r="E94" s="30" t="str">
        <x:v>Listed current</x:v>
      </x:c>
      <x:c r="F94" s="30" t="str">
        <x:v>Kfar Roummane</x:v>
      </x:c>
      <x:c r="G94" s="30" t="str">
        <x:v>+961 71 700 435</x:v>
      </x:c>
      <x:c r="H94" s="32"/>
      <x:c r="I94" s="34"/>
      <x:c r="J94" s="30" t="str"/>
      <x:c r="K94" s="30" t="str">
        <x:v>Medium</x:v>
      </x:c>
      <x:c r="L94" s="30" t="str">
        <x:v>Exact Kfar Roummane source</x:v>
      </x:c>
      <x:c r="M94" s="30" t="str">
        <x:v>Current local directory / town discovery</x:v>
      </x:c>
      <x:c r="N94" s="30" t="str">
        <x:v>https://www.google.com/maps/search/?api=1&amp;query=Su+sushi%2C+Kfar+Roummane%2C+Lebanon</x:v>
      </x:c>
      <x:c r="O94" s="30" t="str">
        <x:v>https://www.google.com/maps/search/?api=1&amp;query=Su+sushi%2C+Kafr+Roummane%2C+Lebanon</x:v>
      </x:c>
      <x:c r="P94" s="30" t="str"/>
      <x:c r="Q94" s="30" t="str">
        <x:v>2026-09-07</x:v>
      </x:c>
    </x:row>
    <x:row r="95">
      <x:c r="A95" s="30" t="n">
        <x:v>94</x:v>
      </x:c>
      <x:c r="B95" s="30" t="str">
        <x:v>Kafr Roummane</x:v>
      </x:c>
      <x:c r="C95" s="30" t="str">
        <x:v>Blue Park Resort - مسبح مطعم ومنتجع</x:v>
      </x:c>
      <x:c r="D95" s="30" t="str">
        <x:v>Restaurant / resort</x:v>
      </x:c>
      <x:c r="E95" s="30" t="str">
        <x:v>Active - verified</x:v>
      </x:c>
      <x:c r="F95" s="30" t="str">
        <x:v>Sahl Al Maydaneh, Kfarromane</x:v>
      </x:c>
      <x:c r="G95" s="30" t="str">
        <x:v>+961 3 799 369</x:v>
      </x:c>
      <x:c r="H95" s="32" t="n">
        <x:v>4</x:v>
      </x:c>
      <x:c r="I95" s="34" t="n">
        <x:v>61</x:v>
      </x:c>
      <x:c r="J95" s="30" t="str">
        <x:v>08:00–00:00 daily</x:v>
      </x:c>
      <x:c r="K95" s="30" t="str">
        <x:v>High</x:v>
      </x:c>
      <x:c r="L95" s="30" t="str">
        <x:v>Exact Kfarromane address</x:v>
      </x:c>
      <x:c r="M95" s="30" t="str">
        <x:v>Current local-business listing</x:v>
      </x:c>
      <x:c r="N95" s="30" t="str">
        <x:v>https://www.google.com/maps/search/?api=1&amp;query=Blue+Park+Resort+-+%D9%85%D8%B3%D8%A8%D8%AD+%D9%85%D8%B7%D8%B9%D9%85+%D9%88%D9%85%D9%86%D8%AA%D8%AC%D8%B9%2C+Kafr+Roummane%2C+Lebanon</x:v>
      </x:c>
      <x:c r="O95" s="30" t="str">
        <x:v>https://www.google.com/maps/search/?api=1&amp;query=Blue+Park+Resort+-+%D9%85%D8%B3%D8%A8%D8%AD+%D9%85%D8%B7%D8%B9%D9%85+%D9%88%D9%85%D9%86%D8%AA%D8%AC%D8%B9%2C+Kafr+Roummane%2C+Lebanon</x:v>
      </x:c>
      <x:c r="P95" s="30" t="str"/>
      <x:c r="Q95" s="30" t="str">
        <x:v>2026-09-07</x:v>
      </x:c>
    </x:row>
    <x:row r="96">
      <x:c r="A96" s="30" t="n">
        <x:v>95</x:v>
      </x:c>
      <x:c r="B96" s="30" t="str">
        <x:v>Kafr Sir</x:v>
      </x:c>
      <x:c r="C96" s="30" t="str">
        <x:v>Abu Shadi Restaurant</x:v>
      </x:c>
      <x:c r="D96" s="30" t="str">
        <x:v>Restaurant</x:v>
      </x:c>
      <x:c r="E96" s="30" t="str">
        <x:v>Active - verified</x:v>
      </x:c>
      <x:c r="F96" s="30" t="str">
        <x:v>Kfar Sir / Kfarsir</x:v>
      </x:c>
      <x:c r="G96" s="30" t="str"/>
      <x:c r="H96" s="32" t="n">
        <x:v>5</x:v>
      </x:c>
      <x:c r="I96" s="34" t="n">
        <x:v>1</x:v>
      </x:c>
      <x:c r="J96" s="30" t="str">
        <x:v>Open 24 hours</x:v>
      </x:c>
      <x:c r="K96" s="30" t="str">
        <x:v>High</x:v>
      </x:c>
      <x:c r="L96" s="30" t="str">
        <x:v>Exact Kfar Sir address</x:v>
      </x:c>
      <x:c r="M96" s="30" t="str">
        <x:v>Current local-business listing</x:v>
      </x:c>
      <x:c r="N96" s="30" t="str">
        <x:v>https://www.google.com/maps/search/?api=1&amp;query=Abu+Shadi+Restaurant%2C+Kafr+Sir%2C+Lebanon</x:v>
      </x:c>
      <x:c r="O96" s="30" t="str">
        <x:v>https://www.google.com/maps/search/?api=1&amp;query=Abu+Shadi+Restaurant%2C+Kafr+Sir%2C+Lebanon</x:v>
      </x:c>
      <x:c r="P96" s="30" t="str"/>
      <x:c r="Q96" s="30" t="str">
        <x:v>2026-09-07</x:v>
      </x:c>
    </x:row>
    <x:row r="97">
      <x:c r="A97" s="30" t="n">
        <x:v>96</x:v>
      </x:c>
      <x:c r="B97" s="30" t="str">
        <x:v>Al-Kfour</x:v>
      </x:c>
      <x:c r="C97" s="30" t="str">
        <x:v>Akaber</x:v>
      </x:c>
      <x:c r="D97" s="30" t="str">
        <x:v>Restaurant</x:v>
      </x:c>
      <x:c r="E97" s="30" t="str">
        <x:v>Location conflict</x:v>
      </x:c>
      <x:c r="F97" s="30" t="str">
        <x:v>Kfour Street beside Habbouch bridge / current map: Habbouch</x:v>
      </x:c>
      <x:c r="G97" s="30" t="str">
        <x:v>+961 3 797 918</x:v>
      </x:c>
      <x:c r="H97" s="32" t="n">
        <x:v>4.2</x:v>
      </x:c>
      <x:c r="I97" s="34" t="n">
        <x:v>176</x:v>
      </x:c>
      <x:c r="J97" s="30" t="str">
        <x:v>08:30–00:00 daily</x:v>
      </x:c>
      <x:c r="K97" s="30" t="str">
        <x:v>Medium</x:v>
      </x:c>
      <x:c r="L97" s="30" t="str">
        <x:v>Kfour–Habbouch boundary</x:v>
      </x:c>
      <x:c r="M97" s="30" t="str">
        <x:v>WenRayhin Kfour + official Akaber + current map</x:v>
      </x:c>
      <x:c r="N97" s="30" t="str">
        <x:v>https://akaberresort.com/</x:v>
      </x:c>
      <x:c r="O97" s="30" t="str">
        <x:v>https://www.google.com/maps/search/?api=1&amp;query=Akaber%2C+Al-Kfour%2C+Lebanon</x:v>
      </x:c>
      <x:c r="P97" s="30" t="str">
        <x:v>WenRayhin indexes Akaber under Kfour; current map says Habbouch; official site says beside Habbouch bridge on Kfour Street.</x:v>
      </x:c>
      <x:c r="Q97" s="30" t="str">
        <x:v>2026-09-07</x:v>
      </x:c>
    </x:row>
    <x:row r="98">
      <x:c r="A98" s="30" t="n">
        <x:v>97</x:v>
      </x:c>
      <x:c r="B98" s="30" t="str">
        <x:v>Al-Qsaybeh</x:v>
      </x:c>
      <x:c r="C98" s="30" t="str">
        <x:v>CHEF youssef</x:v>
      </x:c>
      <x:c r="D98" s="30" t="str">
        <x:v>Restaurant</x:v>
      </x:c>
      <x:c r="E98" s="30" t="str">
        <x:v>Active - verified</x:v>
      </x:c>
      <x:c r="F98" s="30" t="str">
        <x:v>Near Sushi Chef, Qsaybeh</x:v>
      </x:c>
      <x:c r="G98" s="30" t="str">
        <x:v>+961 81 898 975</x:v>
      </x:c>
      <x:c r="H98" s="32" t="n">
        <x:v>5</x:v>
      </x:c>
      <x:c r="I98" s="34" t="n">
        <x:v>48</x:v>
      </x:c>
      <x:c r="J98" s="30" t="str"/>
      <x:c r="K98" s="30" t="str">
        <x:v>High</x:v>
      </x:c>
      <x:c r="L98" s="30" t="str">
        <x:v>Exact Qsaybeh address</x:v>
      </x:c>
      <x:c r="M98" s="30" t="str">
        <x:v>Current local-business listing</x:v>
      </x:c>
      <x:c r="N98" s="30" t="str">
        <x:v>https://www.google.com/maps/search/?api=1&amp;query=CHEF+youssef%2C+Al-Qsaybeh%2C+Lebanon</x:v>
      </x:c>
      <x:c r="O98" s="30" t="str">
        <x:v>https://www.google.com/maps/search/?api=1&amp;query=CHEF+youssef%2C+Al-Qsaybeh%2C+Lebanon</x:v>
      </x:c>
      <x:c r="P98" s="30" t="str"/>
      <x:c r="Q98" s="30" t="str">
        <x:v>2026-09-07</x:v>
      </x:c>
    </x:row>
    <x:row r="99">
      <x:c r="A99" s="30" t="n">
        <x:v>98</x:v>
      </x:c>
      <x:c r="B99" s="30" t="str">
        <x:v>Al-Qsaybeh</x:v>
      </x:c>
      <x:c r="C99" s="30" t="str">
        <x:v>حي النبع</x:v>
      </x:c>
      <x:c r="D99" s="30" t="str">
        <x:v>Barbecue restaurant</x:v>
      </x:c>
      <x:c r="E99" s="30" t="str">
        <x:v>Active - verified</x:v>
      </x:c>
      <x:c r="F99" s="30" t="str">
        <x:v>89QW+297, Qsaybeh</x:v>
      </x:c>
      <x:c r="G99" s="30" t="str"/>
      <x:c r="H99" s="32" t="n">
        <x:v>5</x:v>
      </x:c>
      <x:c r="I99" s="34" t="n">
        <x:v>1</x:v>
      </x:c>
      <x:c r="J99" s="30" t="str"/>
      <x:c r="K99" s="30" t="str">
        <x:v>High</x:v>
      </x:c>
      <x:c r="L99" s="30" t="str">
        <x:v>Exact Qsaybeh address</x:v>
      </x:c>
      <x:c r="M99" s="30" t="str">
        <x:v>Current local-business listing</x:v>
      </x:c>
      <x:c r="N99" s="30" t="str">
        <x:v>https://www.google.com/maps/search/?api=1&amp;query=%D8%AD%D9%8A+%D8%A7%D9%84%D9%86%D8%A8%D8%B9%2C+Al-Qsaybeh%2C+Lebanon</x:v>
      </x:c>
      <x:c r="O99" s="30" t="str">
        <x:v>https://www.google.com/maps/search/?api=1&amp;query=%D8%AD%D9%8A+%D8%A7%D9%84%D9%86%D8%A8%D8%B9%2C+Al-Qsaybeh%2C+Lebanon</x:v>
      </x:c>
      <x:c r="P99" s="30" t="str"/>
      <x:c r="Q99" s="30" t="str">
        <x:v>2026-09-07</x:v>
      </x:c>
    </x:row>
    <x:row r="100">
      <x:c r="A100" s="30" t="n">
        <x:v>99</x:v>
      </x:c>
      <x:c r="B100" s="30" t="str">
        <x:v>Al-Qsaybeh</x:v>
      </x:c>
      <x:c r="C100" s="30" t="str">
        <x:v>مطعم منصور Mansour Restaurant</x:v>
      </x:c>
      <x:c r="D100" s="30" t="str">
        <x:v>Restaurant</x:v>
      </x:c>
      <x:c r="E100" s="30" t="str">
        <x:v>Needs verification</x:v>
      </x:c>
      <x:c r="F100" s="30" t="str">
        <x:v>Main road Qsaybeh–Braiqah</x:v>
      </x:c>
      <x:c r="G100" s="30" t="str"/>
      <x:c r="H100" s="32" t="n">
        <x:v>5</x:v>
      </x:c>
      <x:c r="I100" s="34"/>
      <x:c r="J100" s="30" t="str"/>
      <x:c r="K100" s="30" t="str">
        <x:v>Low</x:v>
      </x:c>
      <x:c r="L100" s="30" t="str">
        <x:v>Road-level locality match</x:v>
      </x:c>
      <x:c r="M100" s="30" t="str">
        <x:v>Specialty/local directory discovery</x:v>
      </x:c>
      <x:c r="N100" s="30" t="str">
        <x:v>https://www.google.com/maps/search/?api=1&amp;query=%D9%85%D8%B7%D8%B9%D9%85+%D9%85%D9%86%D8%B5%D9%88%D8%B1+Mansour+Restaurant%2C+Qsaybeh%2C+Lebanon</x:v>
      </x:c>
      <x:c r="O100" s="30" t="str">
        <x:v>https://www.google.com/maps/search/?api=1&amp;query=%D9%85%D8%B7%D8%B9%D9%85+%D9%85%D9%86%D8%B5%D9%88%D8%B1+Mansour+Restaurant%2C+Al-Qsaybeh%2C+Lebanon</x:v>
      </x:c>
      <x:c r="P100" s="30" t="str">
        <x:v>Needs a fresh exact-location/current-status check.</x:v>
      </x:c>
      <x:c r="Q100" s="30" t="str">
        <x:v>2026-09-07</x:v>
      </x:c>
    </x:row>
    <x:row r="101">
      <x:c r="A101" s="30" t="n">
        <x:v>100</x:v>
      </x:c>
      <x:c r="B101" s="30" t="str">
        <x:v>Nabatieh</x:v>
      </x:c>
      <x:c r="C101" s="30" t="str">
        <x:v>Beit El Kel</x:v>
      </x:c>
      <x:c r="D101" s="30" t="str">
        <x:v>Restaurant</x:v>
      </x:c>
      <x:c r="E101" s="30" t="str">
        <x:v>Active - verified</x:v>
      </x:c>
      <x:c r="F101" s="30" t="str">
        <x:v>9FQR+X7Q, Nabatieh</x:v>
      </x:c>
      <x:c r="G101" s="30" t="str">
        <x:v>+961 3 373 934</x:v>
      </x:c>
      <x:c r="H101" s="32" t="n">
        <x:v>4.2</x:v>
      </x:c>
      <x:c r="I101" s="34" t="n">
        <x:v>170</x:v>
      </x:c>
      <x:c r="J101" s="30" t="str">
        <x:v>10:00–01:00 daily</x:v>
      </x:c>
      <x:c r="K101" s="30" t="str">
        <x:v>High</x:v>
      </x:c>
      <x:c r="L101" s="30" t="str">
        <x:v>Current Nabatieh address</x:v>
      </x:c>
      <x:c r="M101" s="30" t="str">
        <x:v>Current local-business listing</x:v>
      </x:c>
      <x:c r="N101" s="30" t="str">
        <x:v>https://www.google.com/maps/search/?api=1&amp;query=Beit+El+Kel%2C+Nabatieh%2C+Lebanon</x:v>
      </x:c>
      <x:c r="O101" s="30" t="str">
        <x:v>https://www.google.com/maps/search/?api=1&amp;query=Beit+El+Kel%2C+Nabatieh%2C+Lebanon</x:v>
      </x:c>
      <x:c r="P101" s="30" t="str"/>
      <x:c r="Q101" s="30" t="str">
        <x:v>2026-09-07</x:v>
      </x:c>
    </x:row>
    <x:row r="102">
      <x:c r="A102" s="30" t="n">
        <x:v>101</x:v>
      </x:c>
      <x:c r="B102" s="30" t="str">
        <x:v>Nabatieh</x:v>
      </x:c>
      <x:c r="C102" s="30" t="str">
        <x:v>4WAYS RESTAURANT</x:v>
      </x:c>
      <x:c r="D102" s="30" t="str">
        <x:v>Restaurant</x:v>
      </x:c>
      <x:c r="E102" s="30" t="str">
        <x:v>Active - verified</x:v>
      </x:c>
      <x:c r="F102" s="30" t="str">
        <x:v>9FJJ+QRC, Nabatieh</x:v>
      </x:c>
      <x:c r="G102" s="30" t="str">
        <x:v>+961 7 765 095</x:v>
      </x:c>
      <x:c r="H102" s="32" t="n">
        <x:v>3.6</x:v>
      </x:c>
      <x:c r="I102" s="34" t="n">
        <x:v>36</x:v>
      </x:c>
      <x:c r="J102" s="30" t="str">
        <x:v>13:20–02:00 daily</x:v>
      </x:c>
      <x:c r="K102" s="30" t="str">
        <x:v>High</x:v>
      </x:c>
      <x:c r="L102" s="30" t="str">
        <x:v>Current Nabatieh address</x:v>
      </x:c>
      <x:c r="M102" s="30" t="str">
        <x:v>Current local-business listing</x:v>
      </x:c>
      <x:c r="N102" s="30" t="str">
        <x:v>https://www.google.com/maps/search/?api=1&amp;query=4WAYS+RESTAURANT%2C+Nabatieh%2C+Lebanon</x:v>
      </x:c>
      <x:c r="O102" s="30" t="str">
        <x:v>https://www.google.com/maps/search/?api=1&amp;query=4WAYS+RESTAURANT%2C+Nabatieh%2C+Lebanon</x:v>
      </x:c>
      <x:c r="P102" s="30" t="str"/>
      <x:c r="Q102" s="30" t="str">
        <x:v>2026-09-07</x:v>
      </x:c>
    </x:row>
    <x:row r="103">
      <x:c r="A103" s="30" t="n">
        <x:v>102</x:v>
      </x:c>
      <x:c r="B103" s="30" t="str">
        <x:v>Nabatieh</x:v>
      </x:c>
      <x:c r="C103" s="30" t="str">
        <x:v>Abajour restaurant</x:v>
      </x:c>
      <x:c r="D103" s="30" t="str">
        <x:v>Restaurant</x:v>
      </x:c>
      <x:c r="E103" s="30" t="str">
        <x:v>Active - verified</x:v>
      </x:c>
      <x:c r="F103" s="30" t="str">
        <x:v>9FMM+53Q, Nabatieh–Saida Rd</x:v>
      </x:c>
      <x:c r="G103" s="30" t="str">
        <x:v>+961 7 762 820</x:v>
      </x:c>
      <x:c r="H103" s="32" t="n">
        <x:v>4.2</x:v>
      </x:c>
      <x:c r="I103" s="34" t="n">
        <x:v>174</x:v>
      </x:c>
      <x:c r="J103" s="30" t="str">
        <x:v>10:00–00:00 daily</x:v>
      </x:c>
      <x:c r="K103" s="30" t="str">
        <x:v>High</x:v>
      </x:c>
      <x:c r="L103" s="30" t="str">
        <x:v>Current Nabatieh address</x:v>
      </x:c>
      <x:c r="M103" s="30" t="str">
        <x:v>Current local-business listing</x:v>
      </x:c>
      <x:c r="N103" s="30" t="str">
        <x:v>https://www.google.com/maps/search/?api=1&amp;query=Abajour+restaurant%2C+Nabatieh%2C+Lebanon</x:v>
      </x:c>
      <x:c r="O103" s="30" t="str">
        <x:v>https://www.google.com/maps/search/?api=1&amp;query=Abajour+restaurant%2C+Nabatieh%2C+Lebanon</x:v>
      </x:c>
      <x:c r="P103" s="30" t="str"/>
      <x:c r="Q103" s="30" t="str">
        <x:v>2026-09-07</x:v>
      </x:c>
    </x:row>
    <x:row r="104">
      <x:c r="A104" s="30" t="n">
        <x:v>103</x:v>
      </x:c>
      <x:c r="B104" s="30" t="str">
        <x:v>Nabatieh</x:v>
      </x:c>
      <x:c r="C104" s="30" t="str">
        <x:v>KFC | NABATIEH</x:v>
      </x:c>
      <x:c r="D104" s="30" t="str">
        <x:v>Fast food restaurant</x:v>
      </x:c>
      <x:c r="E104" s="30" t="str">
        <x:v>Active - verified</x:v>
      </x:c>
      <x:c r="F104" s="30" t="str">
        <x:v>Nabatieh</x:v>
      </x:c>
      <x:c r="G104" s="30" t="str">
        <x:v>+961 7 764 998</x:v>
      </x:c>
      <x:c r="H104" s="32" t="n">
        <x:v>3.6</x:v>
      </x:c>
      <x:c r="I104" s="34" t="n">
        <x:v>434</x:v>
      </x:c>
      <x:c r="J104" s="30" t="str">
        <x:v>12:00–22:00 daily</x:v>
      </x:c>
      <x:c r="K104" s="30" t="str">
        <x:v>High</x:v>
      </x:c>
      <x:c r="L104" s="30" t="str">
        <x:v>Current Nabatieh address</x:v>
      </x:c>
      <x:c r="M104" s="30" t="str">
        <x:v>Current local-business listing</x:v>
      </x:c>
      <x:c r="N104" s="30" t="str">
        <x:v>https://www.google.com/maps/search/?api=1&amp;query=KFC+%7C+NABATIEH%2C+Nabatieh%2C+Lebanon</x:v>
      </x:c>
      <x:c r="O104" s="30" t="str">
        <x:v>https://www.google.com/maps/search/?api=1&amp;query=KFC+%7C+NABATIEH%2C+Nabatieh%2C+Lebanon</x:v>
      </x:c>
      <x:c r="P104" s="30" t="str"/>
      <x:c r="Q104" s="30" t="str">
        <x:v>2026-09-07</x:v>
      </x:c>
    </x:row>
    <x:row r="105">
      <x:c r="A105" s="30" t="n">
        <x:v>104</x:v>
      </x:c>
      <x:c r="B105" s="30" t="str">
        <x:v>Nabatieh</x:v>
      </x:c>
      <x:c r="C105" s="30" t="str">
        <x:v>مطعم علاء العبدالله alaa alabdallah</x:v>
      </x:c>
      <x:c r="D105" s="30" t="str">
        <x:v>Restaurant</x:v>
      </x:c>
      <x:c r="E105" s="30" t="str">
        <x:v>Active - verified</x:v>
      </x:c>
      <x:c r="F105" s="30" t="str">
        <x:v>Nabatieh Road</x:v>
      </x:c>
      <x:c r="G105" s="30" t="str">
        <x:v>+961 70 789 924</x:v>
      </x:c>
      <x:c r="H105" s="32" t="n">
        <x:v>4.4</x:v>
      </x:c>
      <x:c r="I105" s="34" t="n">
        <x:v>54</x:v>
      </x:c>
      <x:c r="J105" s="30" t="str">
        <x:v>12:00–00:00 daily</x:v>
      </x:c>
      <x:c r="K105" s="30" t="str">
        <x:v>High</x:v>
      </x:c>
      <x:c r="L105" s="30" t="str">
        <x:v>Current Nabatieh address</x:v>
      </x:c>
      <x:c r="M105" s="30" t="str">
        <x:v>Current local-business listing</x:v>
      </x:c>
      <x:c r="N105" s="30" t="str">
        <x:v>https://www.google.com/maps/search/?api=1&amp;query=%D9%85%D8%B7%D8%B9%D9%85+%D8%B9%D9%84%D8%A7%D8%A1+%D8%A7%D9%84%D8%B9%D8%A8%D8%AF%D8%A7%D9%84%D9%84%D9%87+alaa+alabdallah%2C+Nabatieh%2C+Lebanon</x:v>
      </x:c>
      <x:c r="O105" s="30" t="str">
        <x:v>https://www.google.com/maps/search/?api=1&amp;query=%D9%85%D8%B7%D8%B9%D9%85+%D8%B9%D9%84%D8%A7%D8%A1+%D8%A7%D9%84%D8%B9%D8%A8%D8%AF%D8%A7%D9%84%D9%84%D9%87+alaa+alabdallah%2C+Nabatieh%2C+Lebanon</x:v>
      </x:c>
      <x:c r="P105" s="30" t="str"/>
      <x:c r="Q105" s="30" t="str">
        <x:v>2026-09-07</x:v>
      </x:c>
    </x:row>
    <x:row r="106">
      <x:c r="A106" s="30" t="n">
        <x:v>105</x:v>
      </x:c>
      <x:c r="B106" s="30" t="str">
        <x:v>Nabatieh</x:v>
      </x:c>
      <x:c r="C106" s="30" t="str">
        <x:v>Skyline Resto Cafe</x:v>
      </x:c>
      <x:c r="D106" s="30" t="str">
        <x:v>Restaurant / resto-cafe</x:v>
      </x:c>
      <x:c r="E106" s="30" t="str">
        <x:v>Active - verified</x:v>
      </x:c>
      <x:c r="F106" s="30" t="str">
        <x:v>9FVQ+3FC, Nabatieh</x:v>
      </x:c>
      <x:c r="G106" s="30" t="str">
        <x:v>+961 3 707 873</x:v>
      </x:c>
      <x:c r="H106" s="32" t="n">
        <x:v>4.2</x:v>
      </x:c>
      <x:c r="I106" s="34" t="n">
        <x:v>110</x:v>
      </x:c>
      <x:c r="J106" s="30" t="str">
        <x:v>10:00–01:00 daily</x:v>
      </x:c>
      <x:c r="K106" s="30" t="str">
        <x:v>High</x:v>
      </x:c>
      <x:c r="L106" s="30" t="str">
        <x:v>Current Nabatieh address</x:v>
      </x:c>
      <x:c r="M106" s="30" t="str">
        <x:v>Current local-business listing</x:v>
      </x:c>
      <x:c r="N106" s="30" t="str">
        <x:v>https://www.google.com/maps/search/?api=1&amp;query=Skyline+Resto+Cafe%2C+Nabatieh%2C+Lebanon</x:v>
      </x:c>
      <x:c r="O106" s="30" t="str">
        <x:v>https://www.google.com/maps/search/?api=1&amp;query=Skyline+Resto+Cafe%2C+Nabatieh%2C+Lebanon</x:v>
      </x:c>
      <x:c r="P106" s="30" t="str"/>
      <x:c r="Q106" s="30" t="str">
        <x:v>2026-09-07</x:v>
      </x:c>
    </x:row>
    <x:row r="107">
      <x:c r="A107" s="30" t="n">
        <x:v>106</x:v>
      </x:c>
      <x:c r="B107" s="30" t="str">
        <x:v>Nabatieh</x:v>
      </x:c>
      <x:c r="C107" s="30" t="str">
        <x:v>Barbeque</x:v>
      </x:c>
      <x:c r="D107" s="30" t="str">
        <x:v>Barbecue restaurant</x:v>
      </x:c>
      <x:c r="E107" s="30" t="str">
        <x:v>Active - verified</x:v>
      </x:c>
      <x:c r="F107" s="30" t="str">
        <x:v>9FFP+P2R, Old Assaraya, Nabatieh</x:v>
      </x:c>
      <x:c r="G107" s="30" t="str">
        <x:v>+961 71 540 677</x:v>
      </x:c>
      <x:c r="H107" s="32" t="n">
        <x:v>5</x:v>
      </x:c>
      <x:c r="I107" s="34" t="n">
        <x:v>1</x:v>
      </x:c>
      <x:c r="J107" s="30" t="str">
        <x:v>12:00–23:00 daily</x:v>
      </x:c>
      <x:c r="K107" s="30" t="str">
        <x:v>High</x:v>
      </x:c>
      <x:c r="L107" s="30" t="str">
        <x:v>Current Nabatieh address</x:v>
      </x:c>
      <x:c r="M107" s="30" t="str">
        <x:v>Current local-business listing</x:v>
      </x:c>
      <x:c r="N107" s="30" t="str">
        <x:v>https://www.google.com/maps/search/?api=1&amp;query=Barbeque%2C+Nabatieh%2C+Lebanon</x:v>
      </x:c>
      <x:c r="O107" s="30" t="str">
        <x:v>https://www.google.com/maps/search/?api=1&amp;query=Barbeque%2C+Nabatieh%2C+Lebanon</x:v>
      </x:c>
      <x:c r="P107" s="30" t="str"/>
      <x:c r="Q107" s="30" t="str">
        <x:v>2026-09-07</x:v>
      </x:c>
    </x:row>
    <x:row r="108">
      <x:c r="A108" s="30" t="n">
        <x:v>107</x:v>
      </x:c>
      <x:c r="B108" s="30" t="str">
        <x:v>Nabatieh</x:v>
      </x:c>
      <x:c r="C108" s="30" t="str">
        <x:v>Addict Burger</x:v>
      </x:c>
      <x:c r="D108" s="30" t="str">
        <x:v>Hamburger restaurant</x:v>
      </x:c>
      <x:c r="E108" s="30" t="str">
        <x:v>Active - verified</x:v>
      </x:c>
      <x:c r="F108" s="30" t="str">
        <x:v>9FJJ+RHH, Nabatieh</x:v>
      </x:c>
      <x:c r="G108" s="30" t="str">
        <x:v>+961 71 181 987</x:v>
      </x:c>
      <x:c r="H108" s="32" t="n">
        <x:v>4.3</x:v>
      </x:c>
      <x:c r="I108" s="34" t="n">
        <x:v>313</x:v>
      </x:c>
      <x:c r="J108" s="30" t="str">
        <x:v>12:00–00:00 daily</x:v>
      </x:c>
      <x:c r="K108" s="30" t="str">
        <x:v>High</x:v>
      </x:c>
      <x:c r="L108" s="30" t="str">
        <x:v>Current Nabatieh address</x:v>
      </x:c>
      <x:c r="M108" s="30" t="str">
        <x:v>Current local-business listing</x:v>
      </x:c>
      <x:c r="N108" s="30" t="str">
        <x:v>https://www.google.com/maps/search/?api=1&amp;query=Addict+Burger%2C+Nabatieh%2C+Lebanon</x:v>
      </x:c>
      <x:c r="O108" s="30" t="str">
        <x:v>https://www.google.com/maps/search/?api=1&amp;query=Addict+Burger%2C+Nabatieh%2C+Lebanon</x:v>
      </x:c>
      <x:c r="P108" s="30" t="str"/>
      <x:c r="Q108" s="30" t="str">
        <x:v>2026-09-07</x:v>
      </x:c>
    </x:row>
    <x:row r="109">
      <x:c r="A109" s="30" t="n">
        <x:v>108</x:v>
      </x:c>
      <x:c r="B109" s="30" t="str">
        <x:v>Nabatieh</x:v>
      </x:c>
      <x:c r="C109" s="30" t="str">
        <x:v>LIFE Resto Cafe</x:v>
      </x:c>
      <x:c r="D109" s="30" t="str">
        <x:v>Restaurant / resto-cafe</x:v>
      </x:c>
      <x:c r="E109" s="30" t="str">
        <x:v>Active - verified</x:v>
      </x:c>
      <x:c r="F109" s="30" t="str">
        <x:v>Main Street, Nabatieh</x:v>
      </x:c>
      <x:c r="G109" s="30" t="str">
        <x:v>+961 81 638 673</x:v>
      </x:c>
      <x:c r="H109" s="32" t="n">
        <x:v>4</x:v>
      </x:c>
      <x:c r="I109" s="34" t="n">
        <x:v>1</x:v>
      </x:c>
      <x:c r="J109" s="30" t="str">
        <x:v>12:00–00:00 daily</x:v>
      </x:c>
      <x:c r="K109" s="30" t="str">
        <x:v>High</x:v>
      </x:c>
      <x:c r="L109" s="30" t="str">
        <x:v>Current Nabatieh address</x:v>
      </x:c>
      <x:c r="M109" s="30" t="str">
        <x:v>Current local-business listing</x:v>
      </x:c>
      <x:c r="N109" s="30" t="str">
        <x:v>https://www.google.com/maps/search/?api=1&amp;query=LIFE+Resto+Cafe%2C+Nabatieh%2C+Lebanon</x:v>
      </x:c>
      <x:c r="O109" s="30" t="str">
        <x:v>https://www.google.com/maps/search/?api=1&amp;query=LIFE+Resto+Cafe%2C+Nabatieh%2C+Lebanon</x:v>
      </x:c>
      <x:c r="P109" s="30" t="str"/>
      <x:c r="Q109" s="30" t="str">
        <x:v>2026-09-07</x:v>
      </x:c>
    </x:row>
    <x:row r="110">
      <x:c r="A110" s="30" t="n">
        <x:v>109</x:v>
      </x:c>
      <x:c r="B110" s="30" t="str">
        <x:v>Nabatieh</x:v>
      </x:c>
      <x:c r="C110" s="30" t="str">
        <x:v>Station Resto-Cafe - Nabatiye</x:v>
      </x:c>
      <x:c r="D110" s="30" t="str">
        <x:v>Restaurant / resto-cafe</x:v>
      </x:c>
      <x:c r="E110" s="30" t="str">
        <x:v>Active - verified</x:v>
      </x:c>
      <x:c r="F110" s="30" t="str">
        <x:v>9FPM+6J5, Nabatieh</x:v>
      </x:c>
      <x:c r="G110" s="30" t="str">
        <x:v>+961 7 763 263</x:v>
      </x:c>
      <x:c r="H110" s="32" t="n">
        <x:v>4</x:v>
      </x:c>
      <x:c r="I110" s="34" t="n">
        <x:v>150</x:v>
      </x:c>
      <x:c r="J110" s="30" t="str">
        <x:v>08:00–00:00 daily</x:v>
      </x:c>
      <x:c r="K110" s="30" t="str">
        <x:v>High</x:v>
      </x:c>
      <x:c r="L110" s="30" t="str">
        <x:v>Current Nabatieh address</x:v>
      </x:c>
      <x:c r="M110" s="30" t="str">
        <x:v>Current local-business listing</x:v>
      </x:c>
      <x:c r="N110" s="30" t="str">
        <x:v>https://www.google.com/maps/search/?api=1&amp;query=Station+Resto-Cafe+-+Nabatiye%2C+Nabatieh%2C+Lebanon</x:v>
      </x:c>
      <x:c r="O110" s="30" t="str">
        <x:v>https://www.google.com/maps/search/?api=1&amp;query=Station+Resto-Cafe+-+Nabatiye%2C+Nabatieh%2C+Lebanon</x:v>
      </x:c>
      <x:c r="P110" s="30" t="str"/>
      <x:c r="Q110" s="30" t="str">
        <x:v>2026-09-07</x:v>
      </x:c>
    </x:row>
    <x:row r="111">
      <x:c r="A111" s="30" t="n">
        <x:v>110</x:v>
      </x:c>
      <x:c r="B111" s="30" t="str">
        <x:v>Nabatieh</x:v>
      </x:c>
      <x:c r="C111" s="30" t="str">
        <x:v>Fahita’z</x:v>
      </x:c>
      <x:c r="D111" s="30" t="str">
        <x:v>Restaurant</x:v>
      </x:c>
      <x:c r="E111" s="30" t="str">
        <x:v>Active - verified</x:v>
      </x:c>
      <x:c r="F111" s="30" t="str">
        <x:v>9FGJ+4XC, Nabatieh</x:v>
      </x:c>
      <x:c r="G111" s="30" t="str">
        <x:v>+961 81 455 882</x:v>
      </x:c>
      <x:c r="H111" s="32"/>
      <x:c r="I111" s="34"/>
      <x:c r="J111" s="30" t="str">
        <x:v>12:00–23:00 daily</x:v>
      </x:c>
      <x:c r="K111" s="30" t="str">
        <x:v>High</x:v>
      </x:c>
      <x:c r="L111" s="30" t="str">
        <x:v>Current Nabatieh address</x:v>
      </x:c>
      <x:c r="M111" s="30" t="str">
        <x:v>Current local-business listing</x:v>
      </x:c>
      <x:c r="N111" s="30" t="str">
        <x:v>https://www.google.com/maps/search/?api=1&amp;query=Fahita%E2%80%99z%2C+Nabatieh%2C+Lebanon</x:v>
      </x:c>
      <x:c r="O111" s="30" t="str">
        <x:v>https://www.google.com/maps/search/?api=1&amp;query=Fahita%E2%80%99z%2C+Nabatieh%2C+Lebanon</x:v>
      </x:c>
      <x:c r="P111" s="30" t="str"/>
      <x:c r="Q111" s="30" t="str">
        <x:v>2026-09-07</x:v>
      </x:c>
    </x:row>
    <x:row r="112">
      <x:c r="A112" s="30" t="n">
        <x:v>111</x:v>
      </x:c>
      <x:c r="B112" s="30" t="str">
        <x:v>Nabatieh</x:v>
      </x:c>
      <x:c r="C112" s="30" t="str">
        <x:v>مطعم الحايك</x:v>
      </x:c>
      <x:c r="D112" s="30" t="str">
        <x:v>Lebanese restaurant</x:v>
      </x:c>
      <x:c r="E112" s="30" t="str">
        <x:v>Active - verified</x:v>
      </x:c>
      <x:c r="F112" s="30" t="str">
        <x:v>9FVQ+C2H, Nabatieh</x:v>
      </x:c>
      <x:c r="G112" s="30" t="str">
        <x:v>+961 7 531 253</x:v>
      </x:c>
      <x:c r="H112" s="32" t="n">
        <x:v>4.1</x:v>
      </x:c>
      <x:c r="I112" s="34" t="n">
        <x:v>65</x:v>
      </x:c>
      <x:c r="J112" s="30" t="str">
        <x:v>13:00–21:00 daily</x:v>
      </x:c>
      <x:c r="K112" s="30" t="str">
        <x:v>High</x:v>
      </x:c>
      <x:c r="L112" s="30" t="str">
        <x:v>Current Nabatieh address</x:v>
      </x:c>
      <x:c r="M112" s="30" t="str">
        <x:v>Current local-business listing</x:v>
      </x:c>
      <x:c r="N112" s="30" t="str">
        <x:v>https://www.google.com/maps/search/?api=1&amp;query=%D9%85%D8%B7%D8%B9%D9%85+%D8%A7%D9%84%D8%AD%D8%A7%D9%8A%D9%83%2C+Nabatieh%2C+Lebanon</x:v>
      </x:c>
      <x:c r="O112" s="30" t="str">
        <x:v>https://www.google.com/maps/search/?api=1&amp;query=%D9%85%D8%B7%D8%B9%D9%85+%D8%A7%D9%84%D8%AD%D8%A7%D9%8A%D9%83%2C+Nabatieh%2C+Lebanon</x:v>
      </x:c>
      <x:c r="P112" s="30" t="str"/>
      <x:c r="Q112" s="30" t="str">
        <x:v>2026-09-07</x:v>
      </x:c>
    </x:row>
    <x:row r="113">
      <x:c r="A113" s="30" t="n">
        <x:v>112</x:v>
      </x:c>
      <x:c r="B113" s="30" t="str">
        <x:v>Nabatieh</x:v>
      </x:c>
      <x:c r="C113" s="30" t="str">
        <x:v>مطعم بروستد و شاورما الأسطورة</x:v>
      </x:c>
      <x:c r="D113" s="30" t="str">
        <x:v>Restaurant</x:v>
      </x:c>
      <x:c r="E113" s="30" t="str">
        <x:v>Active - verified</x:v>
      </x:c>
      <x:c r="F113" s="30" t="str">
        <x:v>9FHM+922, Nabatieh</x:v>
      </x:c>
      <x:c r="G113" s="30" t="str">
        <x:v>+961 3 764 357</x:v>
      </x:c>
      <x:c r="H113" s="32" t="n">
        <x:v>4</x:v>
      </x:c>
      <x:c r="I113" s="34" t="n">
        <x:v>124</x:v>
      </x:c>
      <x:c r="J113" s="30" t="str">
        <x:v>12:00–00:00 daily</x:v>
      </x:c>
      <x:c r="K113" s="30" t="str">
        <x:v>High</x:v>
      </x:c>
      <x:c r="L113" s="30" t="str">
        <x:v>Current Nabatieh address</x:v>
      </x:c>
      <x:c r="M113" s="30" t="str">
        <x:v>Current local-business listing</x:v>
      </x:c>
      <x:c r="N113" s="30" t="str">
        <x:v>https://www.google.com/maps/search/?api=1&amp;query=%D9%85%D8%B7%D8%B9%D9%85+%D8%A8%D8%B1%D9%88%D8%B3%D8%AA%D8%AF+%D9%88+%D8%B4%D8%A7%D9%88%D8%B1%D9%85%D8%A7+%D8%A7%D9%84%D8%A3%D8%B3%D8%B7%D9%88%D8%B1%D8%A9%2C+Nabatieh%2C+Lebanon</x:v>
      </x:c>
      <x:c r="O113" s="30" t="str">
        <x:v>https://www.google.com/maps/search/?api=1&amp;query=%D9%85%D8%B7%D8%B9%D9%85+%D8%A8%D8%B1%D9%88%D8%B3%D8%AA%D8%AF+%D9%88+%D8%B4%D8%A7%D9%88%D8%B1%D9%85%D8%A7+%D8%A7%D9%84%D8%A3%D8%B3%D8%B7%D9%88%D8%B1%D8%A9%2C+Nabatieh%2C+Lebanon</x:v>
      </x:c>
      <x:c r="P113" s="30" t="str"/>
      <x:c r="Q113" s="30" t="str">
        <x:v>2026-09-07</x:v>
      </x:c>
    </x:row>
    <x:row r="114">
      <x:c r="A114" s="30" t="n">
        <x:v>113</x:v>
      </x:c>
      <x:c r="B114" s="30" t="str">
        <x:v>Nabatieh</x:v>
      </x:c>
      <x:c r="C114" s="30" t="str">
        <x:v>Grizzly’s</x:v>
      </x:c>
      <x:c r="D114" s="30" t="str">
        <x:v>Hamburger restaurant</x:v>
      </x:c>
      <x:c r="E114" s="30" t="str">
        <x:v>Active - verified</x:v>
      </x:c>
      <x:c r="F114" s="30" t="str">
        <x:v>Mahmoud Fakih Street, Nabatieh</x:v>
      </x:c>
      <x:c r="G114" s="30" t="str">
        <x:v>+961 3 635 435</x:v>
      </x:c>
      <x:c r="H114" s="32" t="n">
        <x:v>5</x:v>
      </x:c>
      <x:c r="I114" s="34" t="n">
        <x:v>4</x:v>
      </x:c>
      <x:c r="J114" s="30" t="str">
        <x:v>13:00–01:00 daily</x:v>
      </x:c>
      <x:c r="K114" s="30" t="str">
        <x:v>High</x:v>
      </x:c>
      <x:c r="L114" s="30" t="str">
        <x:v>Current Nabatieh address</x:v>
      </x:c>
      <x:c r="M114" s="30" t="str">
        <x:v>Current local-business listing</x:v>
      </x:c>
      <x:c r="N114" s="30" t="str">
        <x:v>https://www.google.com/maps/search/?api=1&amp;query=Grizzly%E2%80%99s%2C+Nabatieh%2C+Lebanon</x:v>
      </x:c>
      <x:c r="O114" s="30" t="str">
        <x:v>https://www.google.com/maps/search/?api=1&amp;query=Grizzly%E2%80%99s%2C+Nabatieh%2C+Lebanon</x:v>
      </x:c>
      <x:c r="P114" s="30" t="str"/>
      <x:c r="Q114" s="30" t="str">
        <x:v>2026-09-07</x:v>
      </x:c>
    </x:row>
    <x:row r="115">
      <x:c r="A115" s="30" t="n">
        <x:v>114</x:v>
      </x:c>
      <x:c r="B115" s="30" t="str">
        <x:v>Nabatieh</x:v>
      </x:c>
      <x:c r="C115" s="30" t="str">
        <x:v>AlKoshari</x:v>
      </x:c>
      <x:c r="D115" s="30" t="str">
        <x:v>Egyptian restaurant</x:v>
      </x:c>
      <x:c r="E115" s="30" t="str">
        <x:v>Active - verified</x:v>
      </x:c>
      <x:c r="F115" s="30" t="str">
        <x:v>9FJJ+RJM, Nabatieh</x:v>
      </x:c>
      <x:c r="G115" s="30" t="str">
        <x:v>+961 70 719 733</x:v>
      </x:c>
      <x:c r="H115" s="32" t="n">
        <x:v>5</x:v>
      </x:c>
      <x:c r="I115" s="34" t="n">
        <x:v>18</x:v>
      </x:c>
      <x:c r="J115" s="30" t="str">
        <x:v>11:00–00:00 daily</x:v>
      </x:c>
      <x:c r="K115" s="30" t="str">
        <x:v>High</x:v>
      </x:c>
      <x:c r="L115" s="30" t="str">
        <x:v>Current Nabatieh address</x:v>
      </x:c>
      <x:c r="M115" s="30" t="str">
        <x:v>Current local-business listing</x:v>
      </x:c>
      <x:c r="N115" s="30" t="str">
        <x:v>https://www.google.com/maps/search/?api=1&amp;query=AlKoshari%2C+Nabatieh%2C+Lebanon</x:v>
      </x:c>
      <x:c r="O115" s="30" t="str">
        <x:v>https://www.google.com/maps/search/?api=1&amp;query=AlKoshari%2C+Nabatieh%2C+Lebanon</x:v>
      </x:c>
      <x:c r="P115" s="30" t="str"/>
      <x:c r="Q115" s="30" t="str">
        <x:v>2026-09-07</x:v>
      </x:c>
    </x:row>
    <x:row r="116">
      <x:c r="A116" s="30" t="n">
        <x:v>115</x:v>
      </x:c>
      <x:c r="B116" s="30" t="str">
        <x:v>Nabatieh</x:v>
      </x:c>
      <x:c r="C116" s="30" t="str">
        <x:v>Al Zawada</x:v>
      </x:c>
      <x:c r="D116" s="30" t="str">
        <x:v>Restaurant</x:v>
      </x:c>
      <x:c r="E116" s="30" t="str">
        <x:v>Active - verified</x:v>
      </x:c>
      <x:c r="F116" s="30" t="str">
        <x:v>Nabatiyeh–Marjayoun Rd</x:v>
      </x:c>
      <x:c r="G116" s="30" t="str">
        <x:v>+961 7 761 815</x:v>
      </x:c>
      <x:c r="H116" s="32" t="n">
        <x:v>4.4</x:v>
      </x:c>
      <x:c r="I116" s="34" t="n">
        <x:v>172</x:v>
      </x:c>
      <x:c r="J116" s="30" t="str">
        <x:v>Approx. 06:00–18:00</x:v>
      </x:c>
      <x:c r="K116" s="30" t="str">
        <x:v>High</x:v>
      </x:c>
      <x:c r="L116" s="30" t="str">
        <x:v>Current Nabatieh address</x:v>
      </x:c>
      <x:c r="M116" s="30" t="str">
        <x:v>Current local-business listing</x:v>
      </x:c>
      <x:c r="N116" s="30" t="str">
        <x:v>https://www.google.com/maps/search/?api=1&amp;query=Al+Zawada%2C+Nabatieh%2C+Lebanon</x:v>
      </x:c>
      <x:c r="O116" s="30" t="str">
        <x:v>https://www.google.com/maps/search/?api=1&amp;query=Al+Zawada%2C+Nabatieh%2C+Lebanon</x:v>
      </x:c>
      <x:c r="P116" s="30" t="str"/>
      <x:c r="Q116" s="30" t="str">
        <x:v>2026-09-07</x:v>
      </x:c>
    </x:row>
    <x:row r="117">
      <x:c r="A117" s="30" t="n">
        <x:v>116</x:v>
      </x:c>
      <x:c r="B117" s="30" t="str">
        <x:v>Nabatieh</x:v>
      </x:c>
      <x:c r="C117" s="30" t="str">
        <x:v>Chimney House | Nabatieh</x:v>
      </x:c>
      <x:c r="D117" s="30" t="str">
        <x:v>Dessert restaurant</x:v>
      </x:c>
      <x:c r="E117" s="30" t="str">
        <x:v>Active - verified</x:v>
      </x:c>
      <x:c r="F117" s="30" t="str">
        <x:v>9FMJ+6QC, Mahmoud Fakih Street</x:v>
      </x:c>
      <x:c r="G117" s="30" t="str">
        <x:v>+961 81 010 782</x:v>
      </x:c>
      <x:c r="H117" s="32" t="n">
        <x:v>4.8</x:v>
      </x:c>
      <x:c r="I117" s="34" t="n">
        <x:v>10</x:v>
      </x:c>
      <x:c r="J117" s="30" t="str">
        <x:v>13:00–01:00 daily</x:v>
      </x:c>
      <x:c r="K117" s="30" t="str">
        <x:v>High</x:v>
      </x:c>
      <x:c r="L117" s="30" t="str">
        <x:v>Current Nabatieh address</x:v>
      </x:c>
      <x:c r="M117" s="30" t="str">
        <x:v>Current local-business listing</x:v>
      </x:c>
      <x:c r="N117" s="30" t="str">
        <x:v>https://www.google.com/maps/search/?api=1&amp;query=Chimney+House+%7C+Nabatieh%2C+Nabatieh%2C+Lebanon</x:v>
      </x:c>
      <x:c r="O117" s="30" t="str">
        <x:v>https://www.google.com/maps/search/?api=1&amp;query=Chimney+House+%7C+Nabatieh%2C+Nabatieh%2C+Lebanon</x:v>
      </x:c>
      <x:c r="P117" s="30" t="str"/>
      <x:c r="Q117" s="30" t="str">
        <x:v>2026-09-07</x:v>
      </x:c>
    </x:row>
    <x:row r="118">
      <x:c r="A118" s="30" t="n">
        <x:v>117</x:v>
      </x:c>
      <x:c r="B118" s="30" t="str">
        <x:v>Nabatieh</x:v>
      </x:c>
      <x:c r="C118" s="30" t="str">
        <x:v>Bullseye Smokery &amp; BBQ</x:v>
      </x:c>
      <x:c r="D118" s="30" t="str">
        <x:v>BBQ restaurant</x:v>
      </x:c>
      <x:c r="E118" s="30" t="str">
        <x:v>Active - verified</x:v>
      </x:c>
      <x:c r="F118" s="30" t="str">
        <x:v>9F9H+MF4, Nabatieh</x:v>
      </x:c>
      <x:c r="G118" s="30" t="str">
        <x:v>+961 76 650 740</x:v>
      </x:c>
      <x:c r="H118" s="32" t="n">
        <x:v>4</x:v>
      </x:c>
      <x:c r="I118" s="34" t="n">
        <x:v>45</x:v>
      </x:c>
      <x:c r="J118" s="30" t="str">
        <x:v>14:00–20:00 daily</x:v>
      </x:c>
      <x:c r="K118" s="30" t="str">
        <x:v>High</x:v>
      </x:c>
      <x:c r="L118" s="30" t="str">
        <x:v>Current Nabatieh address</x:v>
      </x:c>
      <x:c r="M118" s="30" t="str">
        <x:v>Current local-business listing</x:v>
      </x:c>
      <x:c r="N118" s="30" t="str">
        <x:v>https://www.google.com/maps/search/?api=1&amp;query=Bullseye+Smokery+%26+BBQ%2C+Nabatieh%2C+Lebanon</x:v>
      </x:c>
      <x:c r="O118" s="30" t="str">
        <x:v>https://www.google.com/maps/search/?api=1&amp;query=Bullseye+Smokery+%26+BBQ%2C+Nabatieh%2C+Lebanon</x:v>
      </x:c>
      <x:c r="P118" s="30" t="str"/>
      <x:c r="Q118" s="30" t="str">
        <x:v>2026-09-07</x:v>
      </x:c>
    </x:row>
    <x:row r="119">
      <x:c r="A119" s="30" t="n">
        <x:v>118</x:v>
      </x:c>
      <x:c r="B119" s="30" t="str">
        <x:v>Nabatieh</x:v>
      </x:c>
      <x:c r="C119" s="30" t="str">
        <x:v>Ka3keez</x:v>
      </x:c>
      <x:c r="D119" s="30" t="str">
        <x:v>Restaurant</x:v>
      </x:c>
      <x:c r="E119" s="30" t="str">
        <x:v>Active - verified</x:v>
      </x:c>
      <x:c r="F119" s="30" t="str">
        <x:v>9FMM+F4V, Nabatieh</x:v>
      </x:c>
      <x:c r="G119" s="30" t="str">
        <x:v>+961 78 896 222</x:v>
      </x:c>
      <x:c r="H119" s="32" t="n">
        <x:v>4.2</x:v>
      </x:c>
      <x:c r="I119" s="34" t="n">
        <x:v>37</x:v>
      </x:c>
      <x:c r="J119" s="30" t="str">
        <x:v>07:00–01:30 daily</x:v>
      </x:c>
      <x:c r="K119" s="30" t="str">
        <x:v>High</x:v>
      </x:c>
      <x:c r="L119" s="30" t="str">
        <x:v>Current Nabatieh address</x:v>
      </x:c>
      <x:c r="M119" s="30" t="str">
        <x:v>Current local-business listing</x:v>
      </x:c>
      <x:c r="N119" s="30" t="str">
        <x:v>https://www.google.com/maps/search/?api=1&amp;query=Ka3keez%2C+Nabatieh%2C+Lebanon</x:v>
      </x:c>
      <x:c r="O119" s="30" t="str">
        <x:v>https://www.google.com/maps/search/?api=1&amp;query=Ka3keez%2C+Nabatieh%2C+Lebanon</x:v>
      </x:c>
      <x:c r="P119" s="30" t="str"/>
      <x:c r="Q119" s="30" t="str">
        <x:v>2026-09-07</x:v>
      </x:c>
    </x:row>
    <x:row r="120">
      <x:c r="A120" s="30" t="n">
        <x:v>119</x:v>
      </x:c>
      <x:c r="B120" s="30" t="str">
        <x:v>Nabatieh</x:v>
      </x:c>
      <x:c r="C120" s="30" t="str">
        <x:v>Zinger King</x:v>
      </x:c>
      <x:c r="D120" s="30" t="str">
        <x:v>Fast food restaurant</x:v>
      </x:c>
      <x:c r="E120" s="30" t="str">
        <x:v>Active - verified</x:v>
      </x:c>
      <x:c r="F120" s="30" t="str">
        <x:v>9FGJ+87M, Nabatieh</x:v>
      </x:c>
      <x:c r="G120" s="30" t="str">
        <x:v>+961 70 746 111</x:v>
      </x:c>
      <x:c r="H120" s="32" t="n">
        <x:v>3.4</x:v>
      </x:c>
      <x:c r="I120" s="34" t="n">
        <x:v>7</x:v>
      </x:c>
      <x:c r="J120" s="30" t="str">
        <x:v>12:00–22:30 daily</x:v>
      </x:c>
      <x:c r="K120" s="30" t="str">
        <x:v>High</x:v>
      </x:c>
      <x:c r="L120" s="30" t="str">
        <x:v>Current Nabatieh address</x:v>
      </x:c>
      <x:c r="M120" s="30" t="str">
        <x:v>Current local-business listing</x:v>
      </x:c>
      <x:c r="N120" s="30" t="str">
        <x:v>https://www.google.com/maps/search/?api=1&amp;query=Zinger+King%2C+Nabatieh%2C+Lebanon</x:v>
      </x:c>
      <x:c r="O120" s="30" t="str">
        <x:v>https://www.google.com/maps/search/?api=1&amp;query=Zinger+King%2C+Nabatieh%2C+Lebanon</x:v>
      </x:c>
      <x:c r="P120" s="30" t="str"/>
      <x:c r="Q120" s="30" t="str">
        <x:v>2026-09-07</x:v>
      </x:c>
    </x:row>
    <x:row r="121">
      <x:c r="A121" s="30" t="n">
        <x:v>120</x:v>
      </x:c>
      <x:c r="B121" s="30" t="str">
        <x:v>Nabatieh</x:v>
      </x:c>
      <x:c r="C121" s="30" t="str">
        <x:v>ROSTOX</x:v>
      </x:c>
      <x:c r="D121" s="30" t="str">
        <x:v>Fast food restaurant</x:v>
      </x:c>
      <x:c r="E121" s="30" t="str">
        <x:v>Active - verified</x:v>
      </x:c>
      <x:c r="F121" s="30" t="str">
        <x:v>9FGP+9H9, Nabatieh–Marjayoun Rd</x:v>
      </x:c>
      <x:c r="G121" s="30" t="str">
        <x:v>+961 81 709 830</x:v>
      </x:c>
      <x:c r="H121" s="32" t="n">
        <x:v>5</x:v>
      </x:c>
      <x:c r="I121" s="34" t="n">
        <x:v>5</x:v>
      </x:c>
      <x:c r="J121" s="30" t="str"/>
      <x:c r="K121" s="30" t="str">
        <x:v>High</x:v>
      </x:c>
      <x:c r="L121" s="30" t="str">
        <x:v>Current Nabatieh address</x:v>
      </x:c>
      <x:c r="M121" s="30" t="str">
        <x:v>Current local-business listing</x:v>
      </x:c>
      <x:c r="N121" s="30" t="str">
        <x:v>https://www.google.com/maps/search/?api=1&amp;query=ROSTOX%2C+Nabatieh%2C+Lebanon</x:v>
      </x:c>
      <x:c r="O121" s="30" t="str">
        <x:v>https://www.google.com/maps/search/?api=1&amp;query=ROSTOX%2C+Nabatieh%2C+Lebanon</x:v>
      </x:c>
      <x:c r="P121" s="30" t="str"/>
      <x:c r="Q121" s="30" t="str">
        <x:v>2026-09-07</x:v>
      </x:c>
    </x:row>
    <x:row r="122">
      <x:c r="A122" s="30" t="n">
        <x:v>121</x:v>
      </x:c>
      <x:c r="B122" s="30" t="str">
        <x:v>Nabatieh</x:v>
      </x:c>
      <x:c r="C122" s="30" t="str">
        <x:v>شاورما أبو حسن</x:v>
      </x:c>
      <x:c r="D122" s="30" t="str">
        <x:v>Restaurant / shawarma</x:v>
      </x:c>
      <x:c r="E122" s="30" t="str">
        <x:v>Active - verified</x:v>
      </x:c>
      <x:c r="F122" s="30" t="str">
        <x:v>Nabatieh</x:v>
      </x:c>
      <x:c r="G122" s="30" t="str">
        <x:v>+961 3 578 059</x:v>
      </x:c>
      <x:c r="H122" s="32" t="n">
        <x:v>4.1</x:v>
      </x:c>
      <x:c r="I122" s="34" t="n">
        <x:v>23</x:v>
      </x:c>
      <x:c r="J122" s="30" t="str">
        <x:v>Approx. 12:00–01:00</x:v>
      </x:c>
      <x:c r="K122" s="30" t="str">
        <x:v>High</x:v>
      </x:c>
      <x:c r="L122" s="30" t="str">
        <x:v>Current Nabatieh address</x:v>
      </x:c>
      <x:c r="M122" s="30" t="str">
        <x:v>Current local-business listing</x:v>
      </x:c>
      <x:c r="N122" s="30" t="str">
        <x:v>https://www.google.com/maps/search/?api=1&amp;query=%D8%B4%D8%A7%D9%88%D8%B1%D9%85%D8%A7+%D8%A3%D8%A8%D9%88+%D8%AD%D8%B3%D9%86%2C+Nabatieh%2C+Lebanon</x:v>
      </x:c>
      <x:c r="O122" s="30" t="str">
        <x:v>https://www.google.com/maps/search/?api=1&amp;query=%D8%B4%D8%A7%D9%88%D8%B1%D9%85%D8%A7+%D8%A3%D8%A8%D9%88+%D8%AD%D8%B3%D9%86%2C+Nabatieh%2C+Lebanon</x:v>
      </x:c>
      <x:c r="P122" s="30" t="str"/>
      <x:c r="Q122" s="30" t="str">
        <x:v>2026-09-07</x:v>
      </x:c>
    </x:row>
    <x:row r="123">
      <x:c r="A123" s="30" t="n">
        <x:v>122</x:v>
      </x:c>
      <x:c r="B123" s="30" t="str">
        <x:v>Nabatieh</x:v>
      </x:c>
      <x:c r="C123" s="30" t="str">
        <x:v>Kasr El Molouk Nabatieh</x:v>
      </x:c>
      <x:c r="D123" s="30" t="str">
        <x:v>Restaurant</x:v>
      </x:c>
      <x:c r="E123" s="30" t="str">
        <x:v>Listed current</x:v>
      </x:c>
      <x:c r="F123" s="30" t="str">
        <x:v>Nabatieh</x:v>
      </x:c>
      <x:c r="G123" s="30" t="str"/>
      <x:c r="H123" s="32"/>
      <x:c r="I123" s="34"/>
      <x:c r="J123" s="30" t="str"/>
      <x:c r="K123" s="30" t="str">
        <x:v>Medium</x:v>
      </x:c>
      <x:c r="L123" s="30" t="str">
        <x:v>Town catalogue</x:v>
      </x:c>
      <x:c r="M123" s="30" t="str">
        <x:v>WenRayhin Nabatieh — listed open on Google</x:v>
      </x:c>
      <x:c r="N123" s="30" t="str">
        <x:v>https://wenrayhin.com/en/towns/nabatieh/food_drink</x:v>
      </x:c>
      <x:c r="O123" s="30" t="str">
        <x:v>https://www.google.com/maps/search/?api=1&amp;query=Kasr+El+Molouk+Nabatieh%2C+Nabatieh%2C+Lebanon</x:v>
      </x:c>
      <x:c r="P123" s="30" t="str"/>
      <x:c r="Q123" s="30" t="str">
        <x:v>2026-09-07</x:v>
      </x:c>
    </x:row>
    <x:row r="124">
      <x:c r="A124" s="30" t="n">
        <x:v>123</x:v>
      </x:c>
      <x:c r="B124" s="30" t="str">
        <x:v>Nabatieh</x:v>
      </x:c>
      <x:c r="C124" s="30" t="str">
        <x:v>Mataam Abou Abbas</x:v>
      </x:c>
      <x:c r="D124" s="30" t="str">
        <x:v>Restaurant</x:v>
      </x:c>
      <x:c r="E124" s="30" t="str">
        <x:v>Listed current</x:v>
      </x:c>
      <x:c r="F124" s="30" t="str">
        <x:v>Nabatieh</x:v>
      </x:c>
      <x:c r="G124" s="30" t="str"/>
      <x:c r="H124" s="32"/>
      <x:c r="I124" s="34"/>
      <x:c r="J124" s="30" t="str"/>
      <x:c r="K124" s="30" t="str">
        <x:v>Medium</x:v>
      </x:c>
      <x:c r="L124" s="30" t="str">
        <x:v>Town catalogue</x:v>
      </x:c>
      <x:c r="M124" s="30" t="str">
        <x:v>WenRayhin Nabatieh — listed open on Google</x:v>
      </x:c>
      <x:c r="N124" s="30" t="str">
        <x:v>https://wenrayhin.com/en/towns/nabatieh/food_drink</x:v>
      </x:c>
      <x:c r="O124" s="30" t="str">
        <x:v>https://www.google.com/maps/search/?api=1&amp;query=Mataam+Abou+Abbas%2C+Nabatieh%2C+Lebanon</x:v>
      </x:c>
      <x:c r="P124" s="30" t="str"/>
      <x:c r="Q124" s="30" t="str">
        <x:v>2026-09-07</x:v>
      </x:c>
    </x:row>
    <x:row r="125">
      <x:c r="A125" s="30" t="n">
        <x:v>124</x:v>
      </x:c>
      <x:c r="B125" s="30" t="str">
        <x:v>Nabatieh</x:v>
      </x:c>
      <x:c r="C125" s="30" t="str">
        <x:v>Pazza</x:v>
      </x:c>
      <x:c r="D125" s="30" t="str">
        <x:v>Restaurant</x:v>
      </x:c>
      <x:c r="E125" s="30" t="str">
        <x:v>Listed current</x:v>
      </x:c>
      <x:c r="F125" s="30" t="str">
        <x:v>Nabatieh</x:v>
      </x:c>
      <x:c r="G125" s="30" t="str"/>
      <x:c r="H125" s="32"/>
      <x:c r="I125" s="34"/>
      <x:c r="J125" s="30" t="str"/>
      <x:c r="K125" s="30" t="str">
        <x:v>Medium</x:v>
      </x:c>
      <x:c r="L125" s="30" t="str">
        <x:v>Town catalogue</x:v>
      </x:c>
      <x:c r="M125" s="30" t="str">
        <x:v>WenRayhin Nabatieh — listed open on Google</x:v>
      </x:c>
      <x:c r="N125" s="30" t="str">
        <x:v>https://wenrayhin.com/en/towns/nabatieh/food_drink</x:v>
      </x:c>
      <x:c r="O125" s="30" t="str">
        <x:v>https://www.google.com/maps/search/?api=1&amp;query=Pazza%2C+Nabatieh%2C+Lebanon</x:v>
      </x:c>
      <x:c r="P125" s="30" t="str"/>
      <x:c r="Q125" s="30" t="str">
        <x:v>2026-09-07</x:v>
      </x:c>
    </x:row>
    <x:row r="126">
      <x:c r="A126" s="30" t="n">
        <x:v>125</x:v>
      </x:c>
      <x:c r="B126" s="30" t="str">
        <x:v>Nabatieh</x:v>
      </x:c>
      <x:c r="C126" s="30" t="str">
        <x:v>We sushi</x:v>
      </x:c>
      <x:c r="D126" s="30" t="str">
        <x:v>Restaurant</x:v>
      </x:c>
      <x:c r="E126" s="30" t="str">
        <x:v>Listed current</x:v>
      </x:c>
      <x:c r="F126" s="30" t="str">
        <x:v>Nabatieh</x:v>
      </x:c>
      <x:c r="G126" s="30" t="str"/>
      <x:c r="H126" s="32"/>
      <x:c r="I126" s="34"/>
      <x:c r="J126" s="30" t="str"/>
      <x:c r="K126" s="30" t="str">
        <x:v>Medium</x:v>
      </x:c>
      <x:c r="L126" s="30" t="str">
        <x:v>Town catalogue</x:v>
      </x:c>
      <x:c r="M126" s="30" t="str">
        <x:v>WenRayhin Nabatieh — listed open on Google</x:v>
      </x:c>
      <x:c r="N126" s="30" t="str">
        <x:v>https://wenrayhin.com/en/towns/nabatieh/food_drink</x:v>
      </x:c>
      <x:c r="O126" s="30" t="str">
        <x:v>https://www.google.com/maps/search/?api=1&amp;query=We+sushi%2C+Nabatieh%2C+Lebanon</x:v>
      </x:c>
      <x:c r="P126" s="30" t="str"/>
      <x:c r="Q126" s="30" t="str">
        <x:v>2026-09-07</x:v>
      </x:c>
    </x:row>
    <x:row r="127">
      <x:c r="A127" s="30" t="n">
        <x:v>126</x:v>
      </x:c>
      <x:c r="B127" s="30" t="str">
        <x:v>Nabatieh</x:v>
      </x:c>
      <x:c r="C127" s="30" t="str">
        <x:v>Boneless Nabatieh</x:v>
      </x:c>
      <x:c r="D127" s="30" t="str">
        <x:v>Restaurant</x:v>
      </x:c>
      <x:c r="E127" s="30" t="str">
        <x:v>Listed current</x:v>
      </x:c>
      <x:c r="F127" s="30" t="str">
        <x:v>Nabatieh</x:v>
      </x:c>
      <x:c r="G127" s="30" t="str"/>
      <x:c r="H127" s="32"/>
      <x:c r="I127" s="34"/>
      <x:c r="J127" s="30" t="str"/>
      <x:c r="K127" s="30" t="str">
        <x:v>Medium</x:v>
      </x:c>
      <x:c r="L127" s="30" t="str">
        <x:v>Town catalogue</x:v>
      </x:c>
      <x:c r="M127" s="30" t="str">
        <x:v>WenRayhin Nabatieh — listed open on Google</x:v>
      </x:c>
      <x:c r="N127" s="30" t="str">
        <x:v>https://wenrayhin.com/en/towns/nabatieh/food_drink</x:v>
      </x:c>
      <x:c r="O127" s="30" t="str">
        <x:v>https://www.google.com/maps/search/?api=1&amp;query=Boneless+Nabatieh%2C+Nabatieh%2C+Lebanon</x:v>
      </x:c>
      <x:c r="P127" s="30" t="str"/>
      <x:c r="Q127" s="30" t="str">
        <x:v>2026-09-07</x:v>
      </x:c>
    </x:row>
    <x:row r="128">
      <x:c r="A128" s="30" t="n">
        <x:v>127</x:v>
      </x:c>
      <x:c r="B128" s="30" t="str">
        <x:v>Nabatieh</x:v>
      </x:c>
      <x:c r="C128" s="30" t="str">
        <x:v>13</x:v>
      </x:c>
      <x:c r="D128" s="30" t="str">
        <x:v>Restaurant</x:v>
      </x:c>
      <x:c r="E128" s="30" t="str">
        <x:v>Listed current</x:v>
      </x:c>
      <x:c r="F128" s="30" t="str">
        <x:v>Nabatieh</x:v>
      </x:c>
      <x:c r="G128" s="30" t="str"/>
      <x:c r="H128" s="32"/>
      <x:c r="I128" s="34"/>
      <x:c r="J128" s="30" t="str"/>
      <x:c r="K128" s="30" t="str">
        <x:v>Medium</x:v>
      </x:c>
      <x:c r="L128" s="30" t="str">
        <x:v>Town catalogue</x:v>
      </x:c>
      <x:c r="M128" s="30" t="str">
        <x:v>WenRayhin Nabatieh — listed open on Google</x:v>
      </x:c>
      <x:c r="N128" s="30" t="str">
        <x:v>https://wenrayhin.com/en/towns/nabatieh/food_drink</x:v>
      </x:c>
      <x:c r="O128" s="30" t="str">
        <x:v>https://www.google.com/maps/search/?api=1&amp;query=13%2C+Nabatieh%2C+Lebanon</x:v>
      </x:c>
      <x:c r="P128" s="30" t="str"/>
      <x:c r="Q128" s="30" t="str">
        <x:v>2026-09-07</x:v>
      </x:c>
    </x:row>
    <x:row r="129">
      <x:c r="A129" s="30" t="n">
        <x:v>128</x:v>
      </x:c>
      <x:c r="B129" s="30" t="str">
        <x:v>Nabatieh</x:v>
      </x:c>
      <x:c r="C129" s="30" t="str">
        <x:v>Al Naeem Restaurant</x:v>
      </x:c>
      <x:c r="D129" s="30" t="str">
        <x:v>Restaurant</x:v>
      </x:c>
      <x:c r="E129" s="30" t="str">
        <x:v>Listed current</x:v>
      </x:c>
      <x:c r="F129" s="30" t="str">
        <x:v>Nabatieh</x:v>
      </x:c>
      <x:c r="G129" s="30" t="str"/>
      <x:c r="H129" s="32"/>
      <x:c r="I129" s="34"/>
      <x:c r="J129" s="30" t="str"/>
      <x:c r="K129" s="30" t="str">
        <x:v>Medium</x:v>
      </x:c>
      <x:c r="L129" s="30" t="str">
        <x:v>Town catalogue</x:v>
      </x:c>
      <x:c r="M129" s="30" t="str">
        <x:v>WenRayhin Nabatieh — listed open on Google</x:v>
      </x:c>
      <x:c r="N129" s="30" t="str">
        <x:v>https://wenrayhin.com/en/towns/nabatieh/food_drink</x:v>
      </x:c>
      <x:c r="O129" s="30" t="str">
        <x:v>https://www.google.com/maps/search/?api=1&amp;query=Al+Naeem+Restaurant%2C+Nabatieh%2C+Lebanon</x:v>
      </x:c>
      <x:c r="P129" s="30" t="str"/>
      <x:c r="Q129" s="30" t="str">
        <x:v>2026-09-07</x:v>
      </x:c>
    </x:row>
    <x:row r="130">
      <x:c r="A130" s="30" t="n">
        <x:v>129</x:v>
      </x:c>
      <x:c r="B130" s="30" t="str">
        <x:v>Nabatieh</x:v>
      </x:c>
      <x:c r="C130" s="30" t="str">
        <x:v>CHEZ WASSIM</x:v>
      </x:c>
      <x:c r="D130" s="30" t="str">
        <x:v>Restaurant</x:v>
      </x:c>
      <x:c r="E130" s="30" t="str">
        <x:v>Listed current</x:v>
      </x:c>
      <x:c r="F130" s="30" t="str">
        <x:v>Nabatieh</x:v>
      </x:c>
      <x:c r="G130" s="30" t="str"/>
      <x:c r="H130" s="32"/>
      <x:c r="I130" s="34"/>
      <x:c r="J130" s="30" t="str"/>
      <x:c r="K130" s="30" t="str">
        <x:v>Medium</x:v>
      </x:c>
      <x:c r="L130" s="30" t="str">
        <x:v>Town catalogue</x:v>
      </x:c>
      <x:c r="M130" s="30" t="str">
        <x:v>WenRayhin Nabatieh — listed open on Google</x:v>
      </x:c>
      <x:c r="N130" s="30" t="str">
        <x:v>https://wenrayhin.com/en/towns/nabatieh/food_drink</x:v>
      </x:c>
      <x:c r="O130" s="30" t="str">
        <x:v>https://www.google.com/maps/search/?api=1&amp;query=CHEZ+WASSIM%2C+Nabatieh%2C+Lebanon</x:v>
      </x:c>
      <x:c r="P130" s="30" t="str"/>
      <x:c r="Q130" s="30" t="str">
        <x:v>2026-09-07</x:v>
      </x:c>
    </x:row>
    <x:row r="131">
      <x:c r="A131" s="30" t="n">
        <x:v>130</x:v>
      </x:c>
      <x:c r="B131" s="30" t="str">
        <x:v>Nabatieh</x:v>
      </x:c>
      <x:c r="C131" s="30" t="str">
        <x:v>Desserts Kasr Kunafa</x:v>
      </x:c>
      <x:c r="D131" s="30" t="str">
        <x:v>Restaurant / dessert</x:v>
      </x:c>
      <x:c r="E131" s="30" t="str">
        <x:v>Listed current</x:v>
      </x:c>
      <x:c r="F131" s="30" t="str">
        <x:v>Nabatieh</x:v>
      </x:c>
      <x:c r="G131" s="30" t="str"/>
      <x:c r="H131" s="32"/>
      <x:c r="I131" s="34"/>
      <x:c r="J131" s="30" t="str"/>
      <x:c r="K131" s="30" t="str">
        <x:v>Medium</x:v>
      </x:c>
      <x:c r="L131" s="30" t="str">
        <x:v>Town catalogue</x:v>
      </x:c>
      <x:c r="M131" s="30" t="str">
        <x:v>WenRayhin Nabatieh — listed open on Google</x:v>
      </x:c>
      <x:c r="N131" s="30" t="str">
        <x:v>https://wenrayhin.com/en/towns/nabatieh/food_drink</x:v>
      </x:c>
      <x:c r="O131" s="30" t="str">
        <x:v>https://www.google.com/maps/search/?api=1&amp;query=Desserts+Kasr+Kunafa%2C+Nabatieh%2C+Lebanon</x:v>
      </x:c>
      <x:c r="P131" s="30" t="str"/>
      <x:c r="Q131" s="30" t="str">
        <x:v>2026-09-07</x:v>
      </x:c>
    </x:row>
    <x:row r="132">
      <x:c r="A132" s="30" t="n">
        <x:v>131</x:v>
      </x:c>
      <x:c r="B132" s="30" t="str">
        <x:v>Nabatieh</x:v>
      </x:c>
      <x:c r="C132" s="30" t="str">
        <x:v>Falafel Al Ajami</x:v>
      </x:c>
      <x:c r="D132" s="30" t="str">
        <x:v>Restaurant / falafel</x:v>
      </x:c>
      <x:c r="E132" s="30" t="str">
        <x:v>Listed current</x:v>
      </x:c>
      <x:c r="F132" s="30" t="str">
        <x:v>Nabatieh</x:v>
      </x:c>
      <x:c r="G132" s="30" t="str"/>
      <x:c r="H132" s="32"/>
      <x:c r="I132" s="34"/>
      <x:c r="J132" s="30" t="str"/>
      <x:c r="K132" s="30" t="str">
        <x:v>Medium</x:v>
      </x:c>
      <x:c r="L132" s="30" t="str">
        <x:v>Town catalogue</x:v>
      </x:c>
      <x:c r="M132" s="30" t="str">
        <x:v>WenRayhin Nabatieh — listed open on Google</x:v>
      </x:c>
      <x:c r="N132" s="30" t="str">
        <x:v>https://wenrayhin.com/en/towns/nabatieh/food_drink</x:v>
      </x:c>
      <x:c r="O132" s="30" t="str">
        <x:v>https://www.google.com/maps/search/?api=1&amp;query=Falafel+Al+Ajami%2C+Nabatieh%2C+Lebanon</x:v>
      </x:c>
      <x:c r="P132" s="30" t="str"/>
      <x:c r="Q132" s="30" t="str">
        <x:v>2026-09-07</x:v>
      </x:c>
    </x:row>
    <x:row r="133">
      <x:c r="A133" s="30" t="n">
        <x:v>132</x:v>
      </x:c>
      <x:c r="B133" s="30" t="str">
        <x:v>Nabatieh</x:v>
      </x:c>
      <x:c r="C133" s="30" t="str">
        <x:v>Nabatieh Breakfast</x:v>
      </x:c>
      <x:c r="D133" s="30" t="str">
        <x:v>Breakfast / food venue</x:v>
      </x:c>
      <x:c r="E133" s="30" t="str">
        <x:v>Listed current</x:v>
      </x:c>
      <x:c r="F133" s="30" t="str">
        <x:v>Nabatieh</x:v>
      </x:c>
      <x:c r="G133" s="30" t="str"/>
      <x:c r="H133" s="32"/>
      <x:c r="I133" s="34"/>
      <x:c r="J133" s="30" t="str"/>
      <x:c r="K133" s="30" t="str">
        <x:v>Medium</x:v>
      </x:c>
      <x:c r="L133" s="30" t="str">
        <x:v>Town catalogue</x:v>
      </x:c>
      <x:c r="M133" s="30" t="str">
        <x:v>WenRayhin Nabatieh — listed open on Google</x:v>
      </x:c>
      <x:c r="N133" s="30" t="str">
        <x:v>https://wenrayhin.com/en/towns/nabatieh/food_drink</x:v>
      </x:c>
      <x:c r="O133" s="30" t="str">
        <x:v>https://www.google.com/maps/search/?api=1&amp;query=Nabatieh+Breakfast%2C+Nabatieh%2C+Lebanon</x:v>
      </x:c>
      <x:c r="P133" s="30" t="str"/>
      <x:c r="Q133" s="30" t="str">
        <x:v>2026-09-07</x:v>
      </x:c>
    </x:row>
    <x:row r="134">
      <x:c r="A134" s="30" t="n">
        <x:v>133</x:v>
      </x:c>
      <x:c r="B134" s="30" t="str">
        <x:v>Nabatieh</x:v>
      </x:c>
      <x:c r="C134" s="30" t="str">
        <x:v>Totango Restaurant and Café</x:v>
      </x:c>
      <x:c r="D134" s="30" t="str">
        <x:v>Restaurant</x:v>
      </x:c>
      <x:c r="E134" s="30" t="str">
        <x:v>Historical lead</x:v>
      </x:c>
      <x:c r="F134" s="30" t="str">
        <x:v>Nabatieh</x:v>
      </x:c>
      <x:c r="G134" s="30" t="str">
        <x:v>+961 7 768 431</x:v>
      </x:c>
      <x:c r="H134" s="32"/>
      <x:c r="I134" s="34"/>
      <x:c r="J134" s="30" t="str"/>
      <x:c r="K134" s="30" t="str">
        <x:v>Low</x:v>
      </x:c>
      <x:c r="L134" s="30" t="str">
        <x:v>Historical tourism guide</x:v>
      </x:c>
      <x:c r="M134" s="30" t="str">
        <x:v>Destination Lebanon Nabatieh guide (2004)</x:v>
      </x:c>
      <x:c r="N134" s="30" t="str">
        <x:v>https://www.destinationlebanon.com/download-sub/destleb/nabatieh.pdf</x:v>
      </x:c>
      <x:c r="O134" s="30" t="str">
        <x:v>https://www.google.com/maps/search/?api=1&amp;query=Totango+Restaurant+and+Caf%C3%A9%2C+Nabatieh%2C+Lebanon</x:v>
      </x:c>
      <x:c r="P134" s="30" t="str">
        <x:v>Historical listing; current operation not verified.</x:v>
      </x:c>
      <x:c r="Q134" s="30" t="str">
        <x:v>2026-09-07</x:v>
      </x:c>
    </x:row>
    <x:row r="135">
      <x:c r="A135" s="30" t="n">
        <x:v>134</x:v>
      </x:c>
      <x:c r="B135" s="30" t="str">
        <x:v>Nabatieh</x:v>
      </x:c>
      <x:c r="C135" s="30" t="str">
        <x:v>Shqif Club Restaurant and Resthouse</x:v>
      </x:c>
      <x:c r="D135" s="30" t="str">
        <x:v>Restaurant</x:v>
      </x:c>
      <x:c r="E135" s="30" t="str">
        <x:v>Historical lead</x:v>
      </x:c>
      <x:c r="F135" s="30" t="str">
        <x:v>Nabatieh</x:v>
      </x:c>
      <x:c r="G135" s="30" t="str">
        <x:v>+961 7 761 711</x:v>
      </x:c>
      <x:c r="H135" s="32"/>
      <x:c r="I135" s="34"/>
      <x:c r="J135" s="30" t="str"/>
      <x:c r="K135" s="30" t="str">
        <x:v>Low</x:v>
      </x:c>
      <x:c r="L135" s="30" t="str">
        <x:v>Historical tourism guide</x:v>
      </x:c>
      <x:c r="M135" s="30" t="str">
        <x:v>Destination Lebanon Nabatieh guide (2004)</x:v>
      </x:c>
      <x:c r="N135" s="30" t="str">
        <x:v>https://www.destinationlebanon.com/download-sub/destleb/nabatieh.pdf</x:v>
      </x:c>
      <x:c r="O135" s="30" t="str">
        <x:v>https://www.google.com/maps/search/?api=1&amp;query=Shqif+Club+Restaurant+and+Resthouse%2C+Nabatieh%2C+Lebanon</x:v>
      </x:c>
      <x:c r="P135" s="30" t="str">
        <x:v>Historical listing; current operation not verified.</x:v>
      </x:c>
      <x:c r="Q135" s="30" t="str">
        <x:v>2026-09-07</x:v>
      </x:c>
    </x:row>
    <x:row r="136">
      <x:c r="A136" s="30" t="n">
        <x:v>135</x:v>
      </x:c>
      <x:c r="B136" s="30" t="str">
        <x:v>Nabatieh</x:v>
      </x:c>
      <x:c r="C136" s="30" t="str">
        <x:v>Gentina Restaurant</x:v>
      </x:c>
      <x:c r="D136" s="30" t="str">
        <x:v>Restaurant</x:v>
      </x:c>
      <x:c r="E136" s="30" t="str">
        <x:v>Historical lead</x:v>
      </x:c>
      <x:c r="F136" s="30" t="str">
        <x:v>Nabatieh</x:v>
      </x:c>
      <x:c r="G136" s="30" t="str">
        <x:v>+961 7 761 431</x:v>
      </x:c>
      <x:c r="H136" s="32"/>
      <x:c r="I136" s="34"/>
      <x:c r="J136" s="30" t="str"/>
      <x:c r="K136" s="30" t="str">
        <x:v>Low</x:v>
      </x:c>
      <x:c r="L136" s="30" t="str">
        <x:v>Historical tourism guide</x:v>
      </x:c>
      <x:c r="M136" s="30" t="str">
        <x:v>Destination Lebanon Nabatieh guide (2004)</x:v>
      </x:c>
      <x:c r="N136" s="30" t="str">
        <x:v>https://www.destinationlebanon.com/download-sub/destleb/nabatieh.pdf</x:v>
      </x:c>
      <x:c r="O136" s="30" t="str">
        <x:v>https://www.google.com/maps/search/?api=1&amp;query=Gentina+Restaurant%2C+Nabatieh%2C+Lebanon</x:v>
      </x:c>
      <x:c r="P136" s="30" t="str">
        <x:v>Historical listing; current operation not verified.</x:v>
      </x:c>
      <x:c r="Q136" s="30" t="str">
        <x:v>2026-09-07</x:v>
      </x:c>
    </x:row>
    <x:row r="137">
      <x:c r="A137" s="30" t="n">
        <x:v>136</x:v>
      </x:c>
      <x:c r="B137" s="30" t="str">
        <x:v>Nabatieh Al-Fawqa</x:v>
      </x:c>
      <x:c r="C137" s="30" t="str">
        <x:v>Café Local</x:v>
      </x:c>
      <x:c r="D137" s="30" t="str">
        <x:v>Cafe / restaurant</x:v>
      </x:c>
      <x:c r="E137" s="30" t="str">
        <x:v>Status conflict</x:v>
      </x:c>
      <x:c r="F137" s="30" t="str">
        <x:v>Al Fawqa, facing Al Sabbah School</x:v>
      </x:c>
      <x:c r="G137" s="30" t="str">
        <x:v>+961 76 774 700</x:v>
      </x:c>
      <x:c r="H137" s="32" t="n">
        <x:v>5</x:v>
      </x:c>
      <x:c r="I137" s="34" t="n">
        <x:v>6</x:v>
      </x:c>
      <x:c r="J137" s="30" t="str"/>
      <x:c r="K137" s="30" t="str">
        <x:v>Low</x:v>
      </x:c>
      <x:c r="L137" s="30" t="str">
        <x:v>Exact Al-Fawqa address; current-status conflict</x:v>
      </x:c>
      <x:c r="M137" s="30" t="str">
        <x:v>Tripadvisor + current local-business evidence</x:v>
      </x:c>
      <x:c r="N137" s="30" t="str">
        <x:v>https://www.tripadvisor.com/Restaurant_Review-g12972056-d27997271-Reviews-Cafe_Local-Nabatieh_Nabatieh_Governorate.html</x:v>
      </x:c>
      <x:c r="O137" s="30" t="str">
        <x:v>https://www.google.com/maps/search/?api=1&amp;query=Caf%C3%A9+Local%2C+Nabatieh+Al-Fawqa%2C+Lebanon</x:v>
      </x:c>
      <x:c r="P137" s="30" t="str">
        <x:v>Tripadvisor currently shows hours, while a current map listing found in the café research marked it permanently closed. Verify by phone before use.</x:v>
      </x:c>
      <x:c r="Q137" s="30" t="str">
        <x:v>2026-09-07</x:v>
      </x:c>
    </x:row>
    <x:row r="138">
      <x:c r="A138" s="30" t="n">
        <x:v>137</x:v>
      </x:c>
      <x:c r="B138" s="30" t="str">
        <x:v>Zibdeen</x:v>
      </x:c>
      <x:c r="C138" s="30" t="str">
        <x:v>Al Abdallah Restaurant Sarl</x:v>
      </x:c>
      <x:c r="D138" s="30" t="str">
        <x:v>Restaurant</x:v>
      </x:c>
      <x:c r="E138" s="30" t="str">
        <x:v>Listed current</x:v>
      </x:c>
      <x:c r="F138" s="30" t="str">
        <x:v>Al Abdallah building, Main Road, Zebdine</x:v>
      </x:c>
      <x:c r="G138" s="30" t="str">
        <x:v>+961 7 768 145</x:v>
      </x:c>
      <x:c r="H138" s="32"/>
      <x:c r="I138" s="34"/>
      <x:c r="J138" s="30" t="str"/>
      <x:c r="K138" s="30" t="str">
        <x:v>High</x:v>
      </x:c>
      <x:c r="L138" s="30" t="str">
        <x:v>Exact Zebdine company address</x:v>
      </x:c>
      <x:c r="M138" s="30" t="str">
        <x:v>Kompass current company listing</x:v>
      </x:c>
      <x:c r="N138" s="30" t="str">
        <x:v>https://www.kompass.com/z/lb/c/al-abdallah-restaurant-sarl/lb022360/</x:v>
      </x:c>
      <x:c r="O138" s="30" t="str">
        <x:v>https://www.google.com/maps/search/?api=1&amp;query=Al+Abdallah+Restaurant+Sarl%2C+Zibdeen%2C+Lebanon</x:v>
      </x:c>
      <x:c r="P138" s="30" t="str"/>
      <x:c r="Q138" s="30" t="str">
        <x:v>2026-09-07</x:v>
      </x:c>
    </x:row>
    <x:row r="139">
      <x:c r="A139" s="30" t="n">
        <x:v>138</x:v>
      </x:c>
      <x:c r="B139" s="30" t="str">
        <x:v>Zibdeen</x:v>
      </x:c>
      <x:c r="C139" s="30" t="str">
        <x:v>Eat Vite — Zebdine branch</x:v>
      </x:c>
      <x:c r="D139" s="30" t="str">
        <x:v>Restaurant</x:v>
      </x:c>
      <x:c r="E139" s="30" t="str">
        <x:v>Listed current</x:v>
      </x:c>
      <x:c r="F139" s="30" t="str">
        <x:v>Zebdine</x:v>
      </x:c>
      <x:c r="G139" s="30" t="str">
        <x:v>+961 70 631 285</x:v>
      </x:c>
      <x:c r="H139" s="32"/>
      <x:c r="I139" s="34"/>
      <x:c r="J139" s="30" t="str"/>
      <x:c r="K139" s="30" t="str">
        <x:v>Medium</x:v>
      </x:c>
      <x:c r="L139" s="30" t="str">
        <x:v>Exact branch listed in current company directory</x:v>
      </x:c>
      <x:c r="M139" s="30" t="str">
        <x:v>Kompass current company listing</x:v>
      </x:c>
      <x:c r="N139" s="30" t="str">
        <x:v>https://lb.kompass.com/x/distributor/a/restaurants-and-bars/78480/r/nabatieh/lb_lbna/</x:v>
      </x:c>
      <x:c r="O139" s="30" t="str">
        <x:v>https://www.google.com/maps/search/?api=1&amp;query=Eat+Vite+%E2%80%94+Zebdine+branch%2C+Zibdeen%2C+Lebanon</x:v>
      </x:c>
      <x:c r="P139" s="30" t="str"/>
      <x:c r="Q139" s="30" t="str">
        <x:v>2026-09-07</x:v>
      </x:c>
    </x:row>
    <x:row r="140">
      <x:c r="A140" s="30" t="n">
        <x:v>139</x:v>
      </x:c>
      <x:c r="B140" s="30" t="str">
        <x:v>Zibdeen</x:v>
      </x:c>
      <x:c r="C140" s="30" t="str">
        <x:v>ملحمة و مشاوي ترحيني</x:v>
      </x:c>
      <x:c r="D140" s="30" t="str">
        <x:v>Restaurant / butcher &amp; grills</x:v>
      </x:c>
      <x:c r="E140" s="30" t="str">
        <x:v>Active - verified</x:v>
      </x:c>
      <x:c r="F140" s="30" t="str">
        <x:v>9FH4+JGG, Zebdine</x:v>
      </x:c>
      <x:c r="G140" s="30" t="str">
        <x:v>+961 7 766 562</x:v>
      </x:c>
      <x:c r="H140" s="32" t="n">
        <x:v>4.4</x:v>
      </x:c>
      <x:c r="I140" s="34" t="n">
        <x:v>15</x:v>
      </x:c>
      <x:c r="J140" s="30" t="str">
        <x:v>Mon–Thu/Sat/Sun 09:00–17:00; Fri 09:00–13:00</x:v>
      </x:c>
      <x:c r="K140" s="30" t="str">
        <x:v>High</x:v>
      </x:c>
      <x:c r="L140" s="30" t="str">
        <x:v>Exact Zebdine address</x:v>
      </x:c>
      <x:c r="M140" s="30" t="str">
        <x:v>Current local-business listing</x:v>
      </x:c>
      <x:c r="N140" s="30" t="str">
        <x:v>https://www.google.com/maps/search/?api=1&amp;query=%D9%85%D9%84%D8%AD%D9%85%D8%A9+%D9%88+%D9%85%D8%B4%D8%A7%D9%88%D9%8A+%D8%AA%D8%B1%D8%AD%D9%8A%D9%86%D9%8A%2C+Zibdeen%2C+Lebanon</x:v>
      </x:c>
      <x:c r="O140" s="30" t="str">
        <x:v>https://www.google.com/maps/search/?api=1&amp;query=%D9%85%D9%84%D8%AD%D9%85%D8%A9+%D9%88+%D9%85%D8%B4%D8%A7%D9%88%D9%8A+%D8%AA%D8%B1%D8%AD%D9%8A%D9%86%D9%8A%2C+Zibdeen%2C+Lebanon</x:v>
      </x:c>
      <x:c r="P140" s="30" t="str"/>
      <x:c r="Q140" s="30" t="str">
        <x:v>2026-09-07</x:v>
      </x:c>
    </x:row>
    <x:row r="141">
      <x:c r="A141" s="30" t="n">
        <x:v>140</x:v>
      </x:c>
      <x:c r="B141" s="30" t="str">
        <x:v>Zibdeen</x:v>
      </x:c>
      <x:c r="C141" s="30" t="str">
        <x:v>طيبة ملحمة وفرن ومطعم ابو عباس</x:v>
      </x:c>
      <x:c r="D141" s="30" t="str">
        <x:v>Butcher / oven / restaurant</x:v>
      </x:c>
      <x:c r="E141" s="30" t="str">
        <x:v>Listed current</x:v>
      </x:c>
      <x:c r="F141" s="30" t="str">
        <x:v>Opposite Kobaisi fuel station, Zebdine</x:v>
      </x:c>
      <x:c r="G141" s="30" t="str">
        <x:v>+961 76 946 455</x:v>
      </x:c>
      <x:c r="H141" s="32"/>
      <x:c r="I141" s="34"/>
      <x:c r="J141" s="30" t="str">
        <x:v>Approx. Tue–Sun 09:00–17:00</x:v>
      </x:c>
      <x:c r="K141" s="30" t="str">
        <x:v>Medium</x:v>
      </x:c>
      <x:c r="L141" s="30" t="str">
        <x:v>Exact Zebdine directory address</x:v>
      </x:c>
      <x:c r="M141" s="30" t="str">
        <x:v>Local business directory</x:v>
      </x:c>
      <x:c r="N141" s="30" t="str">
        <x:v>https://www.google.com/maps/search/?api=1&amp;query=%D8%B7%D9%8A%D8%A8%D8%A9+%D9%85%D9%84%D8%AD%D9%85%D8%A9+%D9%88%D9%81%D8%B1%D9%86+%D9%88%D9%85%D8%B7%D8%B9%D9%85+%D8%A7%D8%A8%D9%88+%D8%B9%D8%A8%D8%A7%D8%B3%2C+Zebdine%2C+Lebanon</x:v>
      </x:c>
      <x:c r="O141" s="30" t="str">
        <x:v>https://www.google.com/maps/search/?api=1&amp;query=%D8%B7%D9%8A%D8%A8%D8%A9+%D9%85%D9%84%D8%AD%D9%85%D8%A9+%D9%88%D9%81%D8%B1%D9%86+%D9%88%D9%85%D8%B7%D8%B9%D9%85+%D8%A7%D8%A8%D9%88+%D8%B9%D8%A8%D8%A7%D8%B3%2C+Zibdeen%2C+Lebanon</x:v>
      </x:c>
      <x:c r="P141" s="30" t="str"/>
      <x:c r="Q141" s="30" t="str">
        <x:v>2026-09-07</x:v>
      </x:c>
    </x:row>
    <x:row r="142">
      <x:c r="A142" s="30" t="n">
        <x:v>141</x:v>
      </x:c>
      <x:c r="B142" s="30" t="str">
        <x:v>Zibdeen</x:v>
      </x:c>
      <x:c r="C142" s="30" t="str">
        <x:v>Elysium_fieldfromheaven</x:v>
      </x:c>
      <x:c r="D142" s="30" t="str">
        <x:v>Restaurant / outdoor venue</x:v>
      </x:c>
      <x:c r="E142" s="30" t="str">
        <x:v>Needs verification</x:v>
      </x:c>
      <x:c r="F142" s="30" t="str">
        <x:v>Zibdeen / Nabatieh area</x:v>
      </x:c>
      <x:c r="G142" s="30" t="str">
        <x:v>+961 70 909 940</x:v>
      </x:c>
      <x:c r="H142" s="32" t="n">
        <x:v>4.4</x:v>
      </x:c>
      <x:c r="I142" s="34" t="n">
        <x:v>92</x:v>
      </x:c>
      <x:c r="J142" s="30" t="str"/>
      <x:c r="K142" s="30" t="str">
        <x:v>Low</x:v>
      </x:c>
      <x:c r="L142" s="30" t="str">
        <x:v>Area match, not fully reconciled</x:v>
      </x:c>
      <x:c r="M142" s="30" t="str">
        <x:v>Local-business / local-media discovery</x:v>
      </x:c>
      <x:c r="N142" s="30" t="str">
        <x:v>https://www.google.com/maps/search/?api=1&amp;query=Elysium_fieldfromheaven%2C+Zibdeen%2C+Lebanon</x:v>
      </x:c>
      <x:c r="O142" s="30" t="str">
        <x:v>https://www.google.com/maps/search/?api=1&amp;query=Elysium_fieldfromheaven%2C+Zibdeen%2C+Lebanon</x:v>
      </x:c>
      <x:c r="P142" s="30" t="str">
        <x:v>Broad Nabatieh directories also surface this; exact municipal assignment needs confirmation.</x:v>
      </x:c>
      <x:c r="Q142" s="30" t="str">
        <x:v>2026-09-07</x:v>
      </x:c>
    </x:row>
    <x:row r="143">
      <x:c r="A143" s="30" t="n">
        <x:v>142</x:v>
      </x:c>
      <x:c r="B143" s="30" t="str">
        <x:v>Zefta</x:v>
      </x:c>
      <x:c r="C143" s="30" t="str">
        <x:v>Reef Zefta Restaurant and Pool / Restaurant Rif Zefta</x:v>
      </x:c>
      <x:c r="D143" s="30" t="str">
        <x:v>Restaurant / pool</x:v>
      </x:c>
      <x:c r="E143" s="30" t="str">
        <x:v>Active - verified</x:v>
      </x:c>
      <x:c r="F143" s="30" t="str">
        <x:v>CCV3+XGF, Main Road, Zefta</x:v>
      </x:c>
      <x:c r="G143" s="30" t="str">
        <x:v>+961 7 506 056</x:v>
      </x:c>
      <x:c r="H143" s="32" t="n">
        <x:v>4.1</x:v>
      </x:c>
      <x:c r="I143" s="34" t="n">
        <x:v>149</x:v>
      </x:c>
      <x:c r="J143" s="30" t="str">
        <x:v>08:30–22:00 daily</x:v>
      </x:c>
      <x:c r="K143" s="30" t="str">
        <x:v>High</x:v>
      </x:c>
      <x:c r="L143" s="30" t="str">
        <x:v>Exact Zefta address</x:v>
      </x:c>
      <x:c r="M143" s="30" t="str">
        <x:v>Current local-business + Kompass</x:v>
      </x:c>
      <x:c r="N143" s="30" t="str">
        <x:v>https://www.google.com/maps/search/?api=1&amp;query=Reef+Zefta+Restaurant+and+Pool%2C+Zefta%2C+Lebanon</x:v>
      </x:c>
      <x:c r="O143" s="30" t="str">
        <x:v>https://www.google.com/maps/search/?api=1&amp;query=Reef+Zefta+Restaurant+and+Pool+%2F+Restaurant+Rif+Zefta%2C+Zefta%2C+Lebanon</x:v>
      </x:c>
      <x:c r="P143" s="30" t="str">
        <x:v>Merged with the Kompass 'Restaurant Rif Zefta' company listing as the same/closely matching venue.</x:v>
      </x:c>
      <x:c r="Q143" s="30" t="str">
        <x:v>2026-09-07</x:v>
      </x:c>
    </x:row>
    <x:row r="144">
      <x:c r="A144" s="30" t="n">
        <x:v>143</x:v>
      </x:c>
      <x:c r="B144" s="30" t="str">
        <x:v>Zefta</x:v>
      </x:c>
      <x:c r="C144" s="30" t="str">
        <x:v>ELENA RESTAURANT</x:v>
      </x:c>
      <x:c r="D144" s="30" t="str">
        <x:v>Family restaurant</x:v>
      </x:c>
      <x:c r="E144" s="30" t="str">
        <x:v>Active - verified</x:v>
      </x:c>
      <x:c r="F144" s="30" t="str">
        <x:v>CCV3+7VV, Zefta</x:v>
      </x:c>
      <x:c r="G144" s="30" t="str">
        <x:v>+961 3 013 399</x:v>
      </x:c>
      <x:c r="H144" s="32" t="n">
        <x:v>5</x:v>
      </x:c>
      <x:c r="I144" s="34" t="n">
        <x:v>4</x:v>
      </x:c>
      <x:c r="J144" s="30" t="str">
        <x:v>10:00–00:00 daily</x:v>
      </x:c>
      <x:c r="K144" s="30" t="str">
        <x:v>High</x:v>
      </x:c>
      <x:c r="L144" s="30" t="str">
        <x:v>Exact Zefta address</x:v>
      </x:c>
      <x:c r="M144" s="30" t="str">
        <x:v>Current local-business listing</x:v>
      </x:c>
      <x:c r="N144" s="30" t="str">
        <x:v>https://www.google.com/maps/search/?api=1&amp;query=ELENA+RESTAURANT%2C+Zefta%2C+Lebanon</x:v>
      </x:c>
      <x:c r="O144" s="30" t="str">
        <x:v>https://www.google.com/maps/search/?api=1&amp;query=ELENA+RESTAURANT%2C+Zefta%2C+Lebanon</x:v>
      </x:c>
      <x:c r="P144" s="30" t="str"/>
      <x:c r="Q144" s="30" t="str">
        <x:v>2026-09-07</x:v>
      </x:c>
    </x:row>
    <x:row r="145">
      <x:c r="A145" s="30" t="n">
        <x:v>144</x:v>
      </x:c>
      <x:c r="B145" s="30" t="str">
        <x:v>Zefta</x:v>
      </x:c>
      <x:c r="C145" s="30" t="str">
        <x:v>Al Wafaa Shouman</x:v>
      </x:c>
      <x:c r="D145" s="30" t="str">
        <x:v>Meat-dish restaurant</x:v>
      </x:c>
      <x:c r="E145" s="30" t="str">
        <x:v>Active - verified</x:v>
      </x:c>
      <x:c r="F145" s="30" t="str">
        <x:v>CCQ7+4W6, Zefta</x:v>
      </x:c>
      <x:c r="G145" s="30" t="str">
        <x:v>+961 7 505 189</x:v>
      </x:c>
      <x:c r="H145" s="32" t="n">
        <x:v>4.5</x:v>
      </x:c>
      <x:c r="I145" s="34" t="n">
        <x:v>467</x:v>
      </x:c>
      <x:c r="J145" s="30" t="str">
        <x:v>06:30–20:30 daily</x:v>
      </x:c>
      <x:c r="K145" s="30" t="str">
        <x:v>High</x:v>
      </x:c>
      <x:c r="L145" s="30" t="str">
        <x:v>Exact Zefta address</x:v>
      </x:c>
      <x:c r="M145" s="30" t="str">
        <x:v>Current local-business listing</x:v>
      </x:c>
      <x:c r="N145" s="30" t="str">
        <x:v>https://www.google.com/maps/search/?api=1&amp;query=Al+Wafaa+Shouman%2C+Zefta%2C+Lebanon</x:v>
      </x:c>
      <x:c r="O145" s="30" t="str">
        <x:v>https://www.google.com/maps/search/?api=1&amp;query=Al+Wafaa+Shouman%2C+Zefta%2C+Lebanon</x:v>
      </x:c>
      <x:c r="P145" s="30" t="str"/>
      <x:c r="Q145" s="30" t="str">
        <x:v>2026-09-07</x:v>
      </x:c>
    </x:row>
    <x:row r="146">
      <x:c r="A146" s="30" t="n">
        <x:v>145</x:v>
      </x:c>
      <x:c r="B146" s="30" t="str">
        <x:v>Zefta</x:v>
      </x:c>
      <x:c r="C146" s="30" t="str">
        <x:v>Atlantis Restaurant</x:v>
      </x:c>
      <x:c r="D146" s="30" t="str">
        <x:v>Restaurant</x:v>
      </x:c>
      <x:c r="E146" s="30" t="str">
        <x:v>Active - verified</x:v>
      </x:c>
      <x:c r="F146" s="30" t="str">
        <x:v>Zefta main road, 200 m behind Ferrari Networks</x:v>
      </x:c>
      <x:c r="G146" s="30" t="str">
        <x:v>+961 81 033 677</x:v>
      </x:c>
      <x:c r="H146" s="32" t="n">
        <x:v>4.3</x:v>
      </x:c>
      <x:c r="I146" s="34" t="n">
        <x:v>115</x:v>
      </x:c>
      <x:c r="J146" s="30" t="str">
        <x:v>13:00–00:00 daily</x:v>
      </x:c>
      <x:c r="K146" s="30" t="str">
        <x:v>High</x:v>
      </x:c>
      <x:c r="L146" s="30" t="str">
        <x:v>Exact Zefta address</x:v>
      </x:c>
      <x:c r="M146" s="30" t="str">
        <x:v>Current local-business listing</x:v>
      </x:c>
      <x:c r="N146" s="30" t="str">
        <x:v>https://www.google.com/maps/search/?api=1&amp;query=Atlantis+Restaurant%2C+Zefta%2C+Lebanon</x:v>
      </x:c>
      <x:c r="O146" s="30" t="str">
        <x:v>https://www.google.com/maps/search/?api=1&amp;query=Atlantis+Restaurant%2C+Zefta%2C+Lebanon</x:v>
      </x:c>
      <x:c r="P146" s="30" t="str"/>
      <x:c r="Q146" s="30" t="str">
        <x:v>2026-09-07</x:v>
      </x:c>
    </x:row>
    <x:row r="147">
      <x:c r="A147" s="30" t="n">
        <x:v>146</x:v>
      </x:c>
      <x:c r="B147" s="30" t="str">
        <x:v>Zefta</x:v>
      </x:c>
      <x:c r="C147" s="30" t="str">
        <x:v>Farrouj Ahmad Al Abdalla — Zefta branch</x:v>
      </x:c>
      <x:c r="D147" s="30" t="str">
        <x:v>Chicken / fast-food restaurant</x:v>
      </x:c>
      <x:c r="E147" s="30" t="str">
        <x:v>Listed current</x:v>
      </x:c>
      <x:c r="F147" s="30" t="str">
        <x:v>Zefta, Nabatieh</x:v>
      </x:c>
      <x:c r="G147" s="30" t="str">
        <x:v>1535</x:v>
      </x:c>
      <x:c r="H147" s="32"/>
      <x:c r="I147" s="34"/>
      <x:c r="J147" s="30" t="str">
        <x:v>12:00–00:00 daily (brand hours)</x:v>
      </x:c>
      <x:c r="K147" s="30" t="str">
        <x:v>High</x:v>
      </x:c>
      <x:c r="L147" s="30" t="str">
        <x:v>Official current branch</x:v>
      </x:c>
      <x:c r="M147" s="30" t="str">
        <x:v>Official Ahmad Al-Abdalla site</x:v>
      </x:c>
      <x:c r="N147" s="30" t="str">
        <x:v>https://ahmadalabdalla.com/english/1/</x:v>
      </x:c>
      <x:c r="O147" s="30" t="str">
        <x:v>https://www.google.com/maps/search/?api=1&amp;query=Farrouj+Ahmad+Al+Abdalla+%E2%80%94+Zefta+branch%2C+Zefta%2C+Lebanon</x:v>
      </x:c>
      <x:c r="P147" s="30" t="str"/>
      <x:c r="Q147" s="30" t="str">
        <x:v>2026-09-07</x:v>
      </x:c>
    </x:row>
    <x:row r="148">
      <x:c r="A148" s="30" t="n">
        <x:v>147</x:v>
      </x:c>
      <x:c r="B148" s="30" t="str">
        <x:v>Nabatieh Al-Tahta</x:v>
      </x:c>
      <x:c r="C148" s="30" t="str">
        <x:v>FRITOS</x:v>
      </x:c>
      <x:c r="D148" s="30" t="str">
        <x:v>Fast food restaurant</x:v>
      </x:c>
      <x:c r="E148" s="30" t="str">
        <x:v>Active - verified</x:v>
      </x:c>
      <x:c r="F148" s="30" t="str">
        <x:v>9FRQ+H9W, Al Tahta, Nabatieh</x:v>
      </x:c>
      <x:c r="G148" s="30" t="str">
        <x:v>+961 70 982 235</x:v>
      </x:c>
      <x:c r="H148" s="32" t="n">
        <x:v>5</x:v>
      </x:c>
      <x:c r="I148" s="34" t="n">
        <x:v>4</x:v>
      </x:c>
      <x:c r="J148" s="30" t="str">
        <x:v>Mon 24h; Tue–Sun 12:00–00:00</x:v>
      </x:c>
      <x:c r="K148" s="30" t="str">
        <x:v>High</x:v>
      </x:c>
      <x:c r="L148" s="30" t="str">
        <x:v>Exact Al-Tahta address</x:v>
      </x:c>
      <x:c r="M148" s="30" t="str">
        <x:v>Current local-business + Restaurant Guru</x:v>
      </x:c>
      <x:c r="N148" s="30" t="str">
        <x:v>https://restaurantguru.com/FRITOS-Nabatiyeh-El-Tahta</x:v>
      </x:c>
      <x:c r="O148" s="30" t="str">
        <x:v>https://www.google.com/maps/search/?api=1&amp;query=FRITOS%2C+Nabatieh+Al-Tahta%2C+Lebanon</x:v>
      </x:c>
      <x:c r="P148" s="30" t="str"/>
      <x:c r="Q148" s="30" t="str">
        <x:v>2026-09-07</x:v>
      </x:c>
    </x:row>
    <x:row r="149">
      <x:c r="A149" s="30" t="n">
        <x:v>148</x:v>
      </x:c>
      <x:c r="B149" s="30" t="str">
        <x:v>Nabatieh Al-Tahta</x:v>
      </x:c>
      <x:c r="C149" s="30" t="str">
        <x:v>Eat Vite — Nabatieh El Tahta</x:v>
      </x:c>
      <x:c r="D149" s="30" t="str">
        <x:v>Restaurant</x:v>
      </x:c>
      <x:c r="E149" s="30" t="str">
        <x:v>Listed current</x:v>
      </x:c>
      <x:c r="F149" s="30" t="str">
        <x:v>Ground floor, Mahmoud Jaber building, Marjeyoun road, Nabatieh El Tahta</x:v>
      </x:c>
      <x:c r="G149" s="30" t="str">
        <x:v>+961 7 764 692</x:v>
      </x:c>
      <x:c r="H149" s="32"/>
      <x:c r="I149" s="34"/>
      <x:c r="J149" s="30" t="str"/>
      <x:c r="K149" s="30" t="str">
        <x:v>High</x:v>
      </x:c>
      <x:c r="L149" s="30" t="str">
        <x:v>Exact Al-Tahta company address</x:v>
      </x:c>
      <x:c r="M149" s="30" t="str">
        <x:v>Kompass current company listing</x:v>
      </x:c>
      <x:c r="N149" s="30" t="str">
        <x:v>https://lb.kompass.com/x/distributor/a/restaurants-and-bars/78480/r/nabatieh/lb_lbna/</x:v>
      </x:c>
      <x:c r="O149" s="30" t="str">
        <x:v>https://www.google.com/maps/search/?api=1&amp;query=Eat+Vite+%E2%80%94+Nabatieh+El+Tahta%2C+Nabatieh+Al-Tahta%2C+Lebanon</x:v>
      </x:c>
      <x:c r="P149" s="30" t="str"/>
      <x:c r="Q149" s="30" t="str">
        <x:v>2026-09-07</x:v>
      </x:c>
    </x:row>
    <x:row r="150">
      <x:c r="A150" s="30" t="n">
        <x:v>149</x:v>
      </x:c>
      <x:c r="B150" s="30" t="str">
        <x:v>Nabatieh Al-Tahta</x:v>
      </x:c>
      <x:c r="C150" s="30" t="str">
        <x:v>Janna Resto-Cafe</x:v>
      </x:c>
      <x:c r="D150" s="30" t="str">
        <x:v>Restaurant / resto-cafe</x:v>
      </x:c>
      <x:c r="E150" s="30" t="str">
        <x:v>Listed current</x:v>
      </x:c>
      <x:c r="F150" s="30" t="str">
        <x:v>9CPR+RJW, Nabatieh–Toul descent</x:v>
      </x:c>
      <x:c r="G150" s="30" t="str">
        <x:v>+961 71 655 560</x:v>
      </x:c>
      <x:c r="H150" s="32"/>
      <x:c r="I150" s="34"/>
      <x:c r="J150" s="30" t="str">
        <x:v>Approx. 09:00–22:00/00:00</x:v>
      </x:c>
      <x:c r="K150" s="30" t="str">
        <x:v>Medium</x:v>
      </x:c>
      <x:c r="L150" s="30" t="str">
        <x:v>Source page categorizes Nabatieh El Tahta</x:v>
      </x:c>
      <x:c r="M150" s="30" t="str">
        <x:v>Restaurant Guru, updated May 2026</x:v>
      </x:c>
      <x:c r="N150" s="30" t="str">
        <x:v>https://restaurantguru.com/Janna-Resto-Cafe-Nabatiyeh-El-Tahta</x:v>
      </x:c>
      <x:c r="O150" s="30" t="str">
        <x:v>https://www.google.com/maps/search/?api=1&amp;query=Janna+Resto-Cafe%2C+Nabatieh+Al-Tahta%2C+Lebanon</x:v>
      </x:c>
      <x:c r="P150" s="30" t="str">
        <x:v>Address wording references Nabatieh–Toul descent; retain with medium confidence.</x:v>
      </x:c>
      <x:c r="Q150" s="30" t="str">
        <x:v>2026-09-07</x:v>
      </x:c>
    </x:row>
    <x:row r="151">
      <x:c r="A151" s="30" t="n">
        <x:v>150</x:v>
      </x:c>
      <x:c r="B151" s="30" t="str">
        <x:v>Nabatieh Al-Tahta</x:v>
      </x:c>
      <x:c r="C151" s="30" t="str">
        <x:v>Dal Capo</x:v>
      </x:c>
      <x:c r="D151" s="30" t="str">
        <x:v>Italian restaurant</x:v>
      </x:c>
      <x:c r="E151" s="30" t="str">
        <x:v>Status conflict</x:v>
      </x:c>
      <x:c r="F151" s="30" t="str">
        <x:v>Nabatieh El Tahta</x:v>
      </x:c>
      <x:c r="G151" s="30" t="str"/>
      <x:c r="H151" s="32" t="n">
        <x:v>5</x:v>
      </x:c>
      <x:c r="I151" s="34" t="n">
        <x:v>20</x:v>
      </x:c>
      <x:c r="J151" s="30" t="str">
        <x:v>Scheduled 13:00–22:00</x:v>
      </x:c>
      <x:c r="K151" s="30" t="str">
        <x:v>Low</x:v>
      </x:c>
      <x:c r="L151" s="30" t="str">
        <x:v>Town page; closure uncertainty</x:v>
      </x:c>
      <x:c r="M151" s="30" t="str">
        <x:v>Restaurant Guru</x:v>
      </x:c>
      <x:c r="N151" s="30" t="str">
        <x:v>https://restaurantguru.com/Dal-Capo-Nabatiyeh-El-Tahta</x:v>
      </x:c>
      <x:c r="O151" s="30" t="str">
        <x:v>https://www.google.com/maps/search/?api=1&amp;query=Dal+Capo%2C+Nabatieh+Al-Tahta%2C+Lebanon</x:v>
      </x:c>
      <x:c r="P151" s="30" t="str">
        <x:v>Current directory says 'may be permanently closed'; do not count as confidently active.</x:v>
      </x:c>
      <x:c r="Q151" s="30" t="str">
        <x:v>2026-09-07</x:v>
      </x:c>
    </x:row>
  </x:sheetData>
  <x:conditionalFormatting sqref="E2:E151">
    <x:cfRule type="expression" dxfId="0" priority="1">
      <x:formula>E2="Active - verified"</x:formula>
    </x:cfRule>
    <x:cfRule type="expression" dxfId="1" priority="2">
      <x:formula>E2="Listed current"</x:formula>
    </x:cfRule>
    <x:cfRule type="expression" dxfId="2" priority="3">
      <x:formula>E2="Needs verification"</x:formula>
    </x:cfRule>
    <x:cfRule type="expression" dxfId="3" priority="4">
      <x:formula>OR(E2="Temporarily closed",E2="Status conflict",E2="Location conflict")</x:formula>
    </x:cfRule>
    <x:cfRule type="expression" dxfId="4" priority="5">
      <x:formula>E2="Historical lead"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0ed3ed2f084e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31" hidden="0" customWidth="1"/>
    <x:col min="4" max="4" width="62" hidden="0" customWidth="1"/>
  </x:cols>
  <x:sheetData>
    <x:row r="1">
      <x:c r="A1" s="26" t="str">
        <x:v>Original #</x:v>
      </x:c>
      <x:c r="B1" s="26" t="str">
        <x:v>Original User Entry</x:v>
      </x:c>
      <x:c r="C1" s="26" t="str">
        <x:v>Canonical Research Unit</x:v>
      </x:c>
      <x:c r="D1" s="26" t="str">
        <x:v>Normalization Note</x:v>
      </x:c>
    </x:row>
    <x:row r="2">
      <x:c r="A2" s="30" t="n">
        <x:v>1</x:v>
      </x:c>
      <x:c r="B2" s="30" t="str">
        <x:v>Adchit</x:v>
      </x:c>
      <x:c r="C2" s="30" t="str">
        <x:v>Adchit</x:v>
      </x:c>
      <x:c r="D2" s="30" t="str"/>
    </x:row>
    <x:row r="3">
      <x:c r="A3" s="30" t="n">
        <x:v>2</x:v>
      </x:c>
      <x:c r="B3" s="30" t="str">
        <x:v>Ain Qana</x:v>
      </x:c>
      <x:c r="C3" s="30" t="str">
        <x:v>Ain Qana</x:v>
      </x:c>
      <x:c r="D3" s="30" t="str"/>
    </x:row>
    <x:row r="4">
      <x:c r="A4" s="30" t="n">
        <x:v>3</x:v>
      </x:c>
      <x:c r="B4" s="30" t="str">
        <x:v>Ansar</x:v>
      </x:c>
      <x:c r="C4" s="30" t="str">
        <x:v>Ansar</x:v>
      </x:c>
      <x:c r="D4" s="30" t="str"/>
    </x:row>
    <x:row r="5">
      <x:c r="A5" s="30" t="n">
        <x:v>4</x:v>
      </x:c>
      <x:c r="B5" s="30" t="str">
        <x:v>Arabsalim</x:v>
      </x:c>
      <x:c r="C5" s="30" t="str">
        <x:v>Arabsalim</x:v>
      </x:c>
      <x:c r="D5" s="30" t="str"/>
    </x:row>
    <x:row r="6">
      <x:c r="A6" s="30" t="n">
        <x:v>5</x:v>
      </x:c>
      <x:c r="B6" s="30" t="str">
        <x:v>Arnoun</x:v>
      </x:c>
      <x:c r="C6" s="30" t="str">
        <x:v>Arnoun</x:v>
      </x:c>
      <x:c r="D6" s="30" t="str"/>
    </x:row>
    <x:row r="7">
      <x:c r="A7" s="30" t="n">
        <x:v>6</x:v>
      </x:c>
      <x:c r="B7" s="30" t="str">
        <x:v>Bariqaa / Breikaa</x:v>
      </x:c>
      <x:c r="C7" s="30" t="str">
        <x:v>Bariqaa / Breikaa</x:v>
      </x:c>
      <x:c r="D7" s="30" t="str"/>
    </x:row>
    <x:row r="8">
      <x:c r="A8" s="30" t="n">
        <x:v>7</x:v>
      </x:c>
      <x:c r="B8" s="30" t="str">
        <x:v>Al-Sharqiya</x:v>
      </x:c>
      <x:c r="C8" s="30" t="str">
        <x:v>Al-Sharqiya</x:v>
      </x:c>
      <x:c r="D8" s="30" t="str"/>
    </x:row>
    <x:row r="9">
      <x:c r="A9" s="30" t="n">
        <x:v>8</x:v>
      </x:c>
      <x:c r="B9" s="30" t="str">
        <x:v>Choukeen</x:v>
      </x:c>
      <x:c r="C9" s="30" t="str">
        <x:v>Choukeen</x:v>
      </x:c>
      <x:c r="D9" s="30" t="str"/>
    </x:row>
    <x:row r="10">
      <x:c r="A10" s="30" t="n">
        <x:v>9</x:v>
      </x:c>
      <x:c r="B10" s="30" t="str">
        <x:v>Deir Al-Zahrani</x:v>
      </x:c>
      <x:c r="C10" s="30" t="str">
        <x:v>Deir Al-Zahrani</x:v>
      </x:c>
      <x:c r="D10" s="30" t="str"/>
    </x:row>
    <x:row r="11">
      <x:c r="A11" s="30" t="n">
        <x:v>10</x:v>
      </x:c>
      <x:c r="B11" s="30" t="str">
        <x:v>Doueir</x:v>
      </x:c>
      <x:c r="C11" s="30" t="str">
        <x:v>Doueir</x:v>
      </x:c>
      <x:c r="D11" s="30" t="str"/>
    </x:row>
    <x:row r="12">
      <x:c r="A12" s="30" t="n">
        <x:v>11</x:v>
      </x:c>
      <x:c r="B12" s="30" t="str">
        <x:v>Aaba / Ebba</x:v>
      </x:c>
      <x:c r="C12" s="30" t="str">
        <x:v>Aaba / Ebba</x:v>
      </x:c>
      <x:c r="D12" s="30" t="str"/>
    </x:row>
    <x:row r="13">
      <x:c r="A13" s="30" t="n">
        <x:v>12</x:v>
      </x:c>
      <x:c r="B13" s="30" t="str">
        <x:v>Habbouch</x:v>
      </x:c>
      <x:c r="C13" s="30" t="str">
        <x:v>Habbouch</x:v>
      </x:c>
      <x:c r="D13" s="30" t="str"/>
    </x:row>
    <x:row r="14">
      <x:c r="A14" s="30" t="n">
        <x:v>13</x:v>
      </x:c>
      <x:c r="B14" s="30" t="str">
        <x:v>Harouf</x:v>
      </x:c>
      <x:c r="C14" s="30" t="str">
        <x:v>Harouf</x:v>
      </x:c>
      <x:c r="D14" s="30" t="str"/>
    </x:row>
    <x:row r="15">
      <x:c r="A15" s="30" t="n">
        <x:v>14</x:v>
      </x:c>
      <x:c r="B15" s="30" t="str">
        <x:v>Houmine Al-Fawqa</x:v>
      </x:c>
      <x:c r="C15" s="30" t="str">
        <x:v>Houmine Al-Fawqa</x:v>
      </x:c>
      <x:c r="D15" s="30" t="str"/>
    </x:row>
    <x:row r="16">
      <x:c r="A16" s="30" t="n">
        <x:v>15</x:v>
      </x:c>
      <x:c r="B16" s="30" t="str">
        <x:v>Houmine Al-Tahta</x:v>
      </x:c>
      <x:c r="C16" s="30" t="str">
        <x:v>Houmine Al-Tahta</x:v>
      </x:c>
      <x:c r="D16" s="30" t="str"/>
    </x:row>
    <x:row r="17">
      <x:c r="A17" s="30" t="n">
        <x:v>16</x:v>
      </x:c>
      <x:c r="B17" s="30" t="str">
        <x:v>Jarjouh / Jargea</x:v>
      </x:c>
      <x:c r="C17" s="30" t="str">
        <x:v>Jarjouh / Jargea</x:v>
      </x:c>
      <x:c r="D17" s="30" t="str"/>
    </x:row>
    <x:row r="18">
      <x:c r="A18" s="30" t="n">
        <x:v>17</x:v>
      </x:c>
      <x:c r="B18" s="30" t="str">
        <x:v>Jbaa–Ain Bouswar</x:v>
      </x:c>
      <x:c r="C18" s="30" t="str">
        <x:v>Jbaa–Ain Bouswar</x:v>
      </x:c>
      <x:c r="D18" s="30" t="str"/>
    </x:row>
    <x:row r="19">
      <x:c r="A19" s="30" t="n">
        <x:v>18</x:v>
      </x:c>
      <x:c r="B19" s="30" t="str">
        <x:v>Jibchit</x:v>
      </x:c>
      <x:c r="C19" s="30" t="str">
        <x:v>Jibchit</x:v>
      </x:c>
      <x:c r="D19" s="30" t="str"/>
    </x:row>
    <x:row r="20">
      <x:c r="A20" s="30" t="n">
        <x:v>19</x:v>
      </x:c>
      <x:c r="B20" s="30" t="str">
        <x:v>Kaakaiyet Al-Jisr</x:v>
      </x:c>
      <x:c r="C20" s="30" t="str">
        <x:v>Kaakaiyet Al-Jisr</x:v>
      </x:c>
      <x:c r="D20" s="30" t="str"/>
    </x:row>
    <x:row r="21">
      <x:c r="A21" s="30" t="n">
        <x:v>20</x:v>
      </x:c>
      <x:c r="B21" s="30" t="str">
        <x:v>Kafr Fila</x:v>
      </x:c>
      <x:c r="C21" s="30" t="str">
        <x:v>Kafr Fila</x:v>
      </x:c>
      <x:c r="D21" s="30" t="str"/>
    </x:row>
    <x:row r="22">
      <x:c r="A22" s="30" t="n">
        <x:v>21</x:v>
      </x:c>
      <x:c r="B22" s="30" t="str">
        <x:v>Kafr Roummane</x:v>
      </x:c>
      <x:c r="C22" s="30" t="str">
        <x:v>Kafr Roummane</x:v>
      </x:c>
      <x:c r="D22" s="30" t="str"/>
    </x:row>
    <x:row r="23">
      <x:c r="A23" s="30" t="n">
        <x:v>22</x:v>
      </x:c>
      <x:c r="B23" s="30" t="str">
        <x:v>Kafr Sir</x:v>
      </x:c>
      <x:c r="C23" s="30" t="str">
        <x:v>Kafr Sir</x:v>
      </x:c>
      <x:c r="D23" s="30" t="str"/>
    </x:row>
    <x:row r="24">
      <x:c r="A24" s="30" t="n">
        <x:v>23</x:v>
      </x:c>
      <x:c r="B24" s="30" t="str">
        <x:v>Kafr Tibnit</x:v>
      </x:c>
      <x:c r="C24" s="30" t="str">
        <x:v>Kafr Tibnit</x:v>
      </x:c>
      <x:c r="D24" s="30" t="str"/>
    </x:row>
    <x:row r="25">
      <x:c r="A25" s="30" t="n">
        <x:v>24</x:v>
      </x:c>
      <x:c r="B25" s="30" t="str">
        <x:v>Al-Kfour</x:v>
      </x:c>
      <x:c r="C25" s="30" t="str">
        <x:v>Al-Kfour</x:v>
      </x:c>
      <x:c r="D25" s="30" t="str"/>
    </x:row>
    <x:row r="26">
      <x:c r="A26" s="30" t="n">
        <x:v>25</x:v>
      </x:c>
      <x:c r="B26" s="30" t="str">
        <x:v>Al-Qsaybeh</x:v>
      </x:c>
      <x:c r="C26" s="30" t="str">
        <x:v>Al-Qsaybeh</x:v>
      </x:c>
      <x:c r="D26" s="30" t="str"/>
    </x:row>
    <x:row r="27">
      <x:c r="A27" s="30" t="n">
        <x:v>26</x:v>
      </x:c>
      <x:c r="B27" s="30" t="str">
        <x:v>Mayfadoun</x:v>
      </x:c>
      <x:c r="C27" s="30" t="str">
        <x:v>Mayfadoun</x:v>
      </x:c>
      <x:c r="D27" s="30" t="str"/>
    </x:row>
    <x:row r="28">
      <x:c r="A28" s="30" t="n">
        <x:v>27</x:v>
      </x:c>
      <x:c r="B28" s="30" t="str">
        <x:v>Nabatieh</x:v>
      </x:c>
      <x:c r="C28" s="30" t="str">
        <x:v>Nabatieh</x:v>
      </x:c>
      <x:c r="D28" s="30" t="str">
        <x:v>Wider city bucket; records moved to subareas when a source explicitly identifies Al-Tahta or Al-Fawqa.</x:v>
      </x:c>
    </x:row>
    <x:row r="29">
      <x:c r="A29" s="30" t="n">
        <x:v>28</x:v>
      </x:c>
      <x:c r="B29" s="30" t="str">
        <x:v>Nabatieh Al-Fawqa</x:v>
      </x:c>
      <x:c r="C29" s="30" t="str">
        <x:v>Nabatieh Al-Fawqa</x:v>
      </x:c>
      <x:c r="D29" s="30" t="str">
        <x:v>Urban sub-area.</x:v>
      </x:c>
    </x:row>
    <x:row r="30">
      <x:c r="A30" s="30" t="n">
        <x:v>29</x:v>
      </x:c>
      <x:c r="B30" s="30" t="str">
        <x:v>Nemriyeh</x:v>
      </x:c>
      <x:c r="C30" s="30" t="str">
        <x:v>Nemriyeh</x:v>
      </x:c>
      <x:c r="D30" s="30" t="str"/>
    </x:row>
    <x:row r="31">
      <x:c r="A31" s="30" t="n">
        <x:v>30</x:v>
      </x:c>
      <x:c r="B31" s="30" t="str">
        <x:v>Roumine</x:v>
      </x:c>
      <x:c r="C31" s="30" t="str">
        <x:v>Roumine</x:v>
      </x:c>
      <x:c r="D31" s="30" t="str"/>
    </x:row>
    <x:row r="32">
      <x:c r="A32" s="30" t="n">
        <x:v>31</x:v>
      </x:c>
      <x:c r="B32" s="30" t="str">
        <x:v>Sarba</x:v>
      </x:c>
      <x:c r="C32" s="30" t="str">
        <x:v>Sarba</x:v>
      </x:c>
      <x:c r="D32" s="30" t="str"/>
    </x:row>
    <x:row r="33">
      <x:c r="A33" s="30" t="n">
        <x:v>32</x:v>
      </x:c>
      <x:c r="B33" s="30" t="str">
        <x:v>Seen / Siney</x:v>
      </x:c>
      <x:c r="C33" s="30" t="str">
        <x:v>Seen / Siney</x:v>
      </x:c>
      <x:c r="D33" s="30" t="str"/>
    </x:row>
    <x:row r="34">
      <x:c r="A34" s="30" t="n">
        <x:v>33</x:v>
      </x:c>
      <x:c r="B34" s="30" t="str">
        <x:v>Sir Al-Gharbiyeh</x:v>
      </x:c>
      <x:c r="C34" s="30" t="str">
        <x:v>Sir Al-Gharbiyeh</x:v>
      </x:c>
      <x:c r="D34" s="30" t="str"/>
    </x:row>
    <x:row r="35">
      <x:c r="A35" s="30" t="n">
        <x:v>34</x:v>
      </x:c>
      <x:c r="B35" s="30" t="str">
        <x:v>Yohmor Al-Shaqif</x:v>
      </x:c>
      <x:c r="C35" s="30" t="str">
        <x:v>Yohmor Al-Shaqif</x:v>
      </x:c>
      <x:c r="D35" s="30" t="str"/>
    </x:row>
    <x:row r="36">
      <x:c r="A36" s="30" t="n">
        <x:v>35</x:v>
      </x:c>
      <x:c r="B36" s="30" t="str">
        <x:v>Zawtar Al-Sharqiya</x:v>
      </x:c>
      <x:c r="C36" s="30" t="str">
        <x:v>Zawtar Al-Sharqiya</x:v>
      </x:c>
      <x:c r="D36" s="30" t="str"/>
    </x:row>
    <x:row r="37">
      <x:c r="A37" s="30" t="n">
        <x:v>36</x:v>
      </x:c>
      <x:c r="B37" s="30" t="str">
        <x:v>Zawtar Al-Gharbiya</x:v>
      </x:c>
      <x:c r="C37" s="30" t="str">
        <x:v>Zawtar Al-Gharbiya</x:v>
      </x:c>
      <x:c r="D37" s="30" t="str"/>
    </x:row>
    <x:row r="38">
      <x:c r="A38" s="30" t="n">
        <x:v>37</x:v>
      </x:c>
      <x:c r="B38" s="30" t="str">
        <x:v>Zibdeen</x:v>
      </x:c>
      <x:c r="C38" s="30" t="str">
        <x:v>Zibdeen</x:v>
      </x:c>
      <x:c r="D38" s="30" t="str"/>
    </x:row>
    <x:row r="39">
      <x:c r="A39" s="30" t="n">
        <x:v>38</x:v>
      </x:c>
      <x:c r="B39" s="30" t="str">
        <x:v>Zefta</x:v>
      </x:c>
      <x:c r="C39" s="30" t="str">
        <x:v>Zefta</x:v>
      </x:c>
      <x:c r="D39" s="30" t="str"/>
    </x:row>
    <x:row r="40">
      <x:c r="A40" s="30" t="n">
        <x:v>39</x:v>
      </x:c>
      <x:c r="B40" s="30" t="str">
        <x:v>Ezza</x:v>
      </x:c>
      <x:c r="C40" s="30" t="str">
        <x:v>Ezza</x:v>
      </x:c>
      <x:c r="D40" s="30" t="str"/>
    </x:row>
    <x:row r="41">
      <x:c r="A41" s="30" t="n">
        <x:v>40</x:v>
      </x:c>
      <x:c r="B41" s="30" t="str">
        <x:v>Rumine</x:v>
      </x:c>
      <x:c r="C41" s="30" t="str">
        <x:v>Roumine</x:v>
      </x:c>
      <x:c r="D41" s="30" t="str">
        <x:v>Duplicate / alternate spelling of Roumine.</x:v>
      </x:c>
    </x:row>
    <x:row r="42">
      <x:c r="A42" s="30" t="n">
        <x:v>41</x:v>
      </x:c>
      <x:c r="B42" s="30" t="str">
        <x:v>Ain Qana</x:v>
      </x:c>
      <x:c r="C42" s="30" t="str">
        <x:v>Ain Qana</x:v>
      </x:c>
      <x:c r="D42" s="30" t="str">
        <x:v>Duplicate entry in the original list.</x:v>
      </x:c>
    </x:row>
    <x:row r="43">
      <x:c r="A43" s="30" t="n">
        <x:v>42</x:v>
      </x:c>
      <x:c r="B43" s="30" t="str">
        <x:v>Nabatieh Al-Tahta / central Nabatieh</x:v>
      </x:c>
      <x:c r="C43" s="30" t="str">
        <x:v>Nabatieh Al-Tahta</x:v>
      </x:c>
      <x:c r="D43" s="30" t="str">
        <x:v>Retained as Al-Tahta; 'central Nabatieh' overlaps the wider city.</x:v>
      </x:c>
    </x:row>
  </x:sheetData>
  <x:pageMargins left="0.7" right="0.7" top="0.75" bottom="0.75" header="0.3" footer="0.3"/>
  <x:tableParts count="1">
    <x:tablePart xmlns:r="http://schemas.openxmlformats.org/officeDocument/2006/relationships" r:id="R3f2b2c87e14145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5" hidden="0" customWidth="1"/>
    <x:col min="3" max="3" width="61" hidden="0" customWidth="1"/>
    <x:col min="4" max="4" width="70" hidden="0" customWidth="1"/>
  </x:cols>
  <x:sheetData>
    <x:row r="1">
      <x:c r="A1" s="26" t="str">
        <x:v>Canonical Locality</x:v>
      </x:c>
      <x:c r="B1" s="26" t="str">
        <x:v>Current Research Result</x:v>
      </x:c>
      <x:c r="C1" s="26" t="str">
        <x:v>Why This Is Not 'Zero Restaurants'</x:v>
      </x:c>
      <x:c r="D1" s="26" t="str">
        <x:v>Follow-up / Boundary Note</x:v>
      </x:c>
    </x:row>
    <x:row r="2">
      <x:c r="A2" s="30" t="str">
        <x:v>Bariqaa / Breikaa</x:v>
      </x:c>
      <x:c r="B2" s="30" t="str">
        <x:v>No named current public restaurant securely verified in this research pass.</x:v>
      </x:c>
      <x:c r="C2" s="30" t="str">
        <x:v>Small neighborhood businesses may have no searchable public listing; nearby-place pages were deliberately excluded.</x:v>
      </x:c>
      <x:c r="D2" s="30" t="str">
        <x:v>Exact English/Arabic restaurant searches returned nearby places but no securely named restaurant inside Bariqaa.</x:v>
      </x:c>
    </x:row>
    <x:row r="3">
      <x:c r="A3" s="30" t="str">
        <x:v>Al-Sharqiya</x:v>
      </x:c>
      <x:c r="B3" s="30" t="str">
        <x:v>No named current public restaurant securely verified in this research pass.</x:v>
      </x:c>
      <x:c r="C3" s="30" t="str">
        <x:v>Small neighborhood businesses may have no searchable public listing; nearby-place pages were deliberately excluded.</x:v>
      </x:c>
      <x:c r="D3" s="30" t="str">
        <x:v>No dedicated named restaurant was securely verified inside Charqiyeh/Al-Sharqiya; coffee businesses were excluded.</x:v>
      </x:c>
    </x:row>
    <x:row r="4">
      <x:c r="A4" s="30" t="str">
        <x:v>Choukeen</x:v>
      </x:c>
      <x:c r="B4" s="30" t="str">
        <x:v>No named current public restaurant securely verified in this research pass.</x:v>
      </x:c>
      <x:c r="C4" s="30" t="str">
        <x:v>Small neighborhood businesses may have no searchable public listing; nearby-place pages were deliberately excluded.</x:v>
      </x:c>
      <x:c r="D4" s="30" t="str">
        <x:v>No named restaurant securely tied to Choukeen in current public sources.</x:v>
      </x:c>
    </x:row>
    <x:row r="5">
      <x:c r="A5" s="30" t="str">
        <x:v>Aaba / Ebba</x:v>
      </x:c>
      <x:c r="B5" s="30" t="str">
        <x:v>No named current public restaurant securely verified in this research pass.</x:v>
      </x:c>
      <x:c r="C5" s="30" t="str">
        <x:v>Small neighborhood businesses may have no searchable public listing; nearby-place pages were deliberately excluded.</x:v>
      </x:c>
      <x:c r="D5" s="30" t="str">
        <x:v>No named current restaurant securely tied to Aabba/Ebba in this pass.</x:v>
      </x:c>
    </x:row>
    <x:row r="6">
      <x:c r="A6" s="30" t="str">
        <x:v>Houmine Al-Tahta</x:v>
      </x:c>
      <x:c r="B6" s="30" t="str">
        <x:v>No named current public restaurant securely verified in this research pass.</x:v>
      </x:c>
      <x:c r="C6" s="30" t="str">
        <x:v>Small neighborhood businesses may have no searchable public listing; nearby-place pages were deliberately excluded.</x:v>
      </x:c>
      <x:c r="D6" s="30" t="str">
        <x:v>Exact Arabic/English searches found locality information but no named current restaurant.</x:v>
      </x:c>
    </x:row>
    <x:row r="7">
      <x:c r="A7" s="30" t="str">
        <x:v>Kafr Fila</x:v>
      </x:c>
      <x:c r="B7" s="30" t="str">
        <x:v>No named current public restaurant securely verified in this research pass.</x:v>
      </x:c>
      <x:c r="C7" s="30" t="str">
        <x:v>Small neighborhood businesses may have no searchable public listing; nearby-place pages were deliberately excluded.</x:v>
      </x:c>
      <x:c r="D7" s="30" t="str">
        <x:v>No named current restaurant securely verified; nearby Jbaa/Ain Bouswar venues were excluded.</x:v>
      </x:c>
    </x:row>
    <x:row r="8">
      <x:c r="A8" s="30" t="str">
        <x:v>Kafr Tibnit</x:v>
      </x:c>
      <x:c r="B8" s="30" t="str">
        <x:v>No named current public restaurant securely verified in this research pass.</x:v>
      </x:c>
      <x:c r="C8" s="30" t="str">
        <x:v>Small neighborhood businesses may have no searchable public listing; nearby-place pages were deliberately excluded.</x:v>
      </x:c>
      <x:c r="D8" s="30" t="str">
        <x:v>Radius directories incorrectly surface Nabatieh restaurants such as Beit El Kel; no exact current Kfar Tebnit restaurant was confirmed.</x:v>
      </x:c>
    </x:row>
    <x:row r="9">
      <x:c r="A9" s="30" t="str">
        <x:v>Mayfadoun</x:v>
      </x:c>
      <x:c r="B9" s="30" t="str">
        <x:v>No named current public restaurant securely verified in this research pass.</x:v>
      </x:c>
      <x:c r="C9" s="30" t="str">
        <x:v>Small neighborhood businesses may have no searchable public listing; nearby-place pages were deliberately excluded.</x:v>
      </x:c>
      <x:c r="D9" s="30" t="str">
        <x:v>No named current restaurant securely verified; historical food/business records without a clear restaurant identity were not promoted.</x:v>
      </x:c>
    </x:row>
    <x:row r="10">
      <x:c r="A10" s="30" t="str">
        <x:v>Nemriyeh</x:v>
      </x:c>
      <x:c r="B10" s="30" t="str">
        <x:v>No named current public restaurant securely verified in this research pass.</x:v>
      </x:c>
      <x:c r="C10" s="30" t="str">
        <x:v>Small neighborhood businesses may have no searchable public listing; nearby-place pages were deliberately excluded.</x:v>
      </x:c>
      <x:c r="D10" s="30" t="str">
        <x:v>No named current restaurant securely verified in exact locality searches.</x:v>
      </x:c>
    </x:row>
    <x:row r="11">
      <x:c r="A11" s="30" t="str">
        <x:v>Roumine</x:v>
      </x:c>
      <x:c r="B11" s="30" t="str">
        <x:v>No named current public restaurant securely verified in this research pass.</x:v>
      </x:c>
      <x:c r="C11" s="30" t="str">
        <x:v>Small neighborhood businesses may have no searchable public listing; nearby-place pages were deliberately excluded.</x:v>
      </x:c>
      <x:c r="D11" s="30" t="str">
        <x:v>Current WenRayhin town page shows two verified places (hiking and dessert) and no restaurant.</x:v>
      </x:c>
    </x:row>
    <x:row r="12">
      <x:c r="A12" s="30" t="str">
        <x:v>Sarba</x:v>
      </x:c>
      <x:c r="B12" s="30" t="str">
        <x:v>No named current public restaurant securely verified in this research pass.</x:v>
      </x:c>
      <x:c r="C12" s="30" t="str">
        <x:v>Small neighborhood businesses may have no searchable public listing; nearby-place pages were deliberately excluded.</x:v>
      </x:c>
      <x:c r="D12" s="30" t="str">
        <x:v>Searches frequently returned Sarba/Keserwan; those were excluded. No exact Sarbah-Nabatieh restaurant was confirmed.</x:v>
      </x:c>
    </x:row>
    <x:row r="13">
      <x:c r="A13" s="30" t="str">
        <x:v>Seen / Siney</x:v>
      </x:c>
      <x:c r="B13" s="30" t="str">
        <x:v>No named current public restaurant securely verified in this research pass.</x:v>
      </x:c>
      <x:c r="C13" s="30" t="str">
        <x:v>Small neighborhood businesses may have no searchable public listing; nearby-place pages were deliberately excluded.</x:v>
      </x:c>
      <x:c r="D13" s="30" t="str">
        <x:v>No named current restaurant securely verified in exact spelling/Arabic searches.</x:v>
      </x:c>
    </x:row>
    <x:row r="14">
      <x:c r="A14" s="30" t="str">
        <x:v>Sir Al-Gharbiyeh</x:v>
      </x:c>
      <x:c r="B14" s="30" t="str">
        <x:v>No named current public restaurant securely verified in this research pass.</x:v>
      </x:c>
      <x:c r="C14" s="30" t="str">
        <x:v>Small neighborhood businesses may have no searchable public listing; nearby-place pages were deliberately excluded.</x:v>
      </x:c>
      <x:c r="D14" s="30" t="str">
        <x:v>No named current restaurant securely verified; similarly named northern localities were excluded.</x:v>
      </x:c>
    </x:row>
    <x:row r="15">
      <x:c r="A15" s="30" t="str">
        <x:v>Yohmor Al-Shaqif</x:v>
      </x:c>
      <x:c r="B15" s="30" t="str">
        <x:v>No named current public restaurant securely verified in this research pass.</x:v>
      </x:c>
      <x:c r="C15" s="30" t="str">
        <x:v>Small neighborhood businesses may have no searchable public listing; nearby-place pages were deliberately excluded.</x:v>
      </x:c>
      <x:c r="D15" s="30" t="str">
        <x:v>No named current restaurant securely verified in this pass.</x:v>
      </x:c>
    </x:row>
    <x:row r="16">
      <x:c r="A16" s="30" t="str">
        <x:v>Zawtar Al-Sharqiya</x:v>
      </x:c>
      <x:c r="B16" s="30" t="str">
        <x:v>No named current public restaurant securely verified in this research pass.</x:v>
      </x:c>
      <x:c r="C16" s="30" t="str">
        <x:v>Small neighborhood businesses may have no searchable public listing; nearby-place pages were deliberately excluded.</x:v>
      </x:c>
      <x:c r="D16" s="30" t="str">
        <x:v>No named current restaurant securely verified; nearby Qsaybeh/Kfar Sir results were excluded.</x:v>
      </x:c>
    </x:row>
    <x:row r="17">
      <x:c r="A17" s="30" t="str">
        <x:v>Zawtar Al-Gharbiya</x:v>
      </x:c>
      <x:c r="B17" s="30" t="str">
        <x:v>No named current public restaurant securely verified in this research pass.</x:v>
      </x:c>
      <x:c r="C17" s="30" t="str">
        <x:v>Small neighborhood businesses may have no searchable public listing; nearby-place pages were deliberately excluded.</x:v>
      </x:c>
      <x:c r="D17" s="30" t="str">
        <x:v>No named current restaurant securely verified in exact locality searches.</x:v>
      </x:c>
    </x:row>
    <x:row r="18">
      <x:c r="A18" s="30" t="str">
        <x:v>Ezza</x:v>
      </x:c>
      <x:c r="B18" s="30" t="str">
        <x:v>No named current public restaurant securely verified in this research pass.</x:v>
      </x:c>
      <x:c r="C18" s="30" t="str">
        <x:v>Small neighborhood businesses may have no searchable public listing; nearby-place pages were deliberately excluded.</x:v>
      </x:c>
      <x:c r="D18" s="30" t="str">
        <x:v>No named current restaurant securely verified in exact Aazze/Ezza searches.</x:v>
      </x:c>
    </x:row>
  </x:sheetData>
  <x:pageMargins left="0.7" right="0.7" top="0.75" bottom="0.75" header="0.3" footer="0.3"/>
  <x:tableParts count="1">
    <x:tablePart xmlns:r="http://schemas.openxmlformats.org/officeDocument/2006/relationships" r:id="R11a8283e256c4c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5" hidden="0" customWidth="1"/>
    <x:col min="3" max="3" width="58" hidden="0" customWidth="1"/>
    <x:col min="4" max="4" width="55" hidden="0" customWidth="1"/>
  </x:cols>
  <x:sheetData>
    <x:row r="1">
      <x:c r="A1" s="26" t="str">
        <x:v>Source / Method</x:v>
      </x:c>
      <x:c r="B1" s="26" t="str">
        <x:v>URL</x:v>
      </x:c>
      <x:c r="C1" s="26" t="str">
        <x:v>How it was used</x:v>
      </x:c>
      <x:c r="D1" s="26" t="str">
        <x:v>Reliability note</x:v>
      </x:c>
    </x:row>
    <x:row r="2">
      <x:c r="A2" s="30" t="str">
        <x:v>Lebanese DGLAC — Municipalities</x:v>
      </x:c>
      <x:c r="B2" s="30" t="str">
        <x:v>https://www.dglac.gov.lb/en/municipalities</x:v>
      </x:c>
      <x:c r="C2" s="30" t="str">
        <x:v>Canonical locality names and Nabatieh District membership.</x:v>
      </x:c>
      <x:c r="D2" s="30" t="str">
        <x:v>Government source.</x:v>
      </x:c>
    </x:row>
    <x:row r="3">
      <x:c r="A3" s="30" t="str">
        <x:v>WenRayhin — Nabatieh</x:v>
      </x:c>
      <x:c r="B3" s="30" t="str">
        <x:v>https://wenrayhin.com/en/towns/nabatieh/food_drink</x:v>
      </x:c>
      <x:c r="C3" s="30" t="str">
        <x:v>Current town-level restaurant discovery and status labels.</x:v>
      </x:c>
      <x:c r="D3" s="30" t="str">
        <x:v>Uses OpenStreetMap + Google Places; site says records are verified and dated.</x:v>
      </x:c>
    </x:row>
    <x:row r="4">
      <x:c r="A4" s="30" t="str">
        <x:v>WenRayhin — Habbouch</x:v>
      </x:c>
      <x:c r="B4" s="30" t="str">
        <x:v>https://wenrayhin.com/en/towns/habboush</x:v>
      </x:c>
      <x:c r="C4" s="30" t="str">
        <x:v>Current Habbouch restaurant catalogue.</x:v>
      </x:c>
      <x:c r="D4" s="30" t="str">
        <x:v>Town-level current source.</x:v>
      </x:c>
    </x:row>
    <x:row r="5">
      <x:c r="A5" s="30" t="str">
        <x:v>WenRayhin — Kafr Rumman</x:v>
      </x:c>
      <x:c r="B5" s="30" t="str">
        <x:v>https://wenrayhin.com/en/towns/kafr-rumman</x:v>
      </x:c>
      <x:c r="C5" s="30" t="str">
        <x:v>Current Kafr Rumman restaurant catalogue.</x:v>
      </x:c>
      <x:c r="D5" s="30" t="str">
        <x:v>Town-level current source.</x:v>
      </x:c>
    </x:row>
    <x:row r="6">
      <x:c r="A6" s="30" t="str">
        <x:v>WenRayhin — Deir El Zahrani</x:v>
      </x:c>
      <x:c r="B6" s="30" t="str">
        <x:v>https://wenrayhin.com/en/towns/deir-el-zahrani</x:v>
      </x:c>
      <x:c r="C6" s="30" t="str">
        <x:v>Current Deir El Zahrani restaurant catalogue.</x:v>
      </x:c>
      <x:c r="D6" s="30" t="str">
        <x:v>Town-level current source.</x:v>
      </x:c>
    </x:row>
    <x:row r="7">
      <x:c r="A7" s="30" t="str">
        <x:v>WenRayhin — Arab Salim</x:v>
      </x:c>
      <x:c r="B7" s="30" t="str">
        <x:v>https://wenrayhin.com/en/towns/arab-salim/food_drink</x:v>
      </x:c>
      <x:c r="C7" s="30" t="str">
        <x:v>Current Arab Salim food/restaurant catalogue.</x:v>
      </x:c>
      <x:c r="D7" s="30" t="str">
        <x:v>Town-level current source.</x:v>
      </x:c>
    </x:row>
    <x:row r="8">
      <x:c r="A8" s="30" t="str">
        <x:v>WenRayhin — Jarjouaa</x:v>
      </x:c>
      <x:c r="B8" s="30" t="str">
        <x:v>https://wenrayhin.com/en/towns/jarjouaa</x:v>
      </x:c>
      <x:c r="C8" s="30" t="str">
        <x:v>Current Jarjouaa restaurant discovery.</x:v>
      </x:c>
      <x:c r="D8" s="30" t="str">
        <x:v>Town-level current source.</x:v>
      </x:c>
    </x:row>
    <x:row r="9">
      <x:c r="A9" s="30" t="str">
        <x:v>ArabSalim.net</x:v>
      </x:c>
      <x:c r="B9" s="30" t="str">
        <x:v>https://arabsalim.net/subcategory/restaurants</x:v>
      </x:c>
      <x:c r="C9" s="30" t="str">
        <x:v>Village-specific restaurant discovery with local phone/address details.</x:v>
      </x:c>
      <x:c r="D9" s="30" t="str">
        <x:v>Useful local directory; individual leads marked Needs verification unless independently corroborated.</x:v>
      </x:c>
    </x:row>
    <x:row r="10">
      <x:c r="A10" s="30" t="str">
        <x:v>Kompass Nabatieh restaurant operators</x:v>
      </x:c>
      <x:c r="B10" s="30" t="str">
        <x:v>https://lb.kompass.com/x/distributor/a/restaurants-and-bars/78480/r/nabatieh/lb_lbna/</x:v>
      </x:c>
      <x:c r="C10" s="30" t="str">
        <x:v>Company/branch verification for Zefta, Zebdine, Nabatieh El Tahta.</x:v>
      </x:c>
      <x:c r="D10" s="30" t="str">
        <x:v>Current business directory.</x:v>
      </x:c>
    </x:row>
    <x:row r="11">
      <x:c r="A11" s="30" t="str">
        <x:v>Ahmad Al-Abdalla official</x:v>
      </x:c>
      <x:c r="B11" s="30" t="str">
        <x:v>https://ahmadalabdalla.com/english/1/</x:v>
      </x:c>
      <x:c r="C11" s="30" t="str">
        <x:v>Current Zefta branch and historical Adchit origin.</x:v>
      </x:c>
      <x:c r="D11" s="30" t="str">
        <x:v>First-party operator source.</x:v>
      </x:c>
    </x:row>
    <x:row r="12">
      <x:c r="A12" s="30" t="str">
        <x:v>Akaber official</x:v>
      </x:c>
      <x:c r="B12" s="30" t="str">
        <x:v>https://akaberresort.com/</x:v>
      </x:c>
      <x:c r="C12" s="30" t="str">
        <x:v>Kfour/Habbouch boundary description.</x:v>
      </x:c>
      <x:c r="D12" s="30" t="str">
        <x:v>First-party operator source; reconciled against town/map listings.</x:v>
      </x:c>
    </x:row>
    <x:row r="13">
      <x:c r="A13" s="30" t="str">
        <x:v>Destination Lebanon Nabatieh guide</x:v>
      </x:c>
      <x:c r="B13" s="30" t="str">
        <x:v>https://www.destinationlebanon.com/download-sub/destleb/nabatieh.pdf</x:v>
      </x:c>
      <x:c r="C13" s="30" t="str">
        <x:v>Historical restaurant leads only.</x:v>
      </x:c>
      <x:c r="D13" s="30" t="str">
        <x:v>Old source (2004); never treated as current without corroboration.</x:v>
      </x:c>
    </x:row>
    <x:row r="14">
      <x:c r="A14" s="30" t="str">
        <x:v>Current local-business/map listings</x:v>
      </x:c>
      <x:c r="B14" s="30" t="str">
        <x:v>Google Maps / structured local-business search</x:v>
      </x:c>
      <x:c r="C14" s="30" t="str">
        <x:v>Exact address, rating, reviews, phone, hours and current status.</x:v>
      </x:c>
      <x:c r="D14" s="30" t="str">
        <x:v>Highest weight for exact current locality when address is explicit.</x:v>
      </x:c>
    </x:row>
  </x:sheetData>
  <x:pageMargins left="0.7" right="0.7" top="0.75" bottom="0.75" header="0.3" footer="0.3"/>
  <x:tableParts count="1">
    <x:tablePart xmlns:r="http://schemas.openxmlformats.org/officeDocument/2006/relationships" r:id="Rf274edf362694930"/>
  </x:tableParts>
</x:worksheet>
</file>