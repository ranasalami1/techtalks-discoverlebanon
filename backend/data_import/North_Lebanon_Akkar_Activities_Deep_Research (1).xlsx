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e05c76a4f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01a0e893ec14424"/>
    <x:sheet xmlns:r="http://schemas.openxmlformats.org/officeDocument/2006/relationships" name="Area Summary" sheetId="2" r:id="Re69a25b474f541e9"/>
    <x:sheet xmlns:r="http://schemas.openxmlformats.org/officeDocument/2006/relationships" name="Activities" sheetId="3" r:id="Rf6cb1a280fdd4065"/>
    <x:sheet xmlns:r="http://schemas.openxmlformats.org/officeDocument/2006/relationships" name="Area Definitions" sheetId="4" r:id="R8a014bbf86bb42da"/>
    <x:sheet xmlns:r="http://schemas.openxmlformats.org/officeDocument/2006/relationships" name="Method &amp; Sources" sheetId="5" r:id="R3f47b8bed24744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4E5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DCECEF"/>
      </x:patternFill>
    </x:fill>
    <x:fill>
      <x:patternFill patternType="solid">
        <x:fgColor rgb="FF2F6F7E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5e24c2ba054f57" /><Relationship Type="http://schemas.openxmlformats.org/officeDocument/2006/relationships/theme" Target="/xl/theme/theme1.xml" Id="R4c289e8adbfc4ed5" /><Relationship Type="http://schemas.openxmlformats.org/officeDocument/2006/relationships/sharedStrings" Target="/xl/sharedStrings.xml" Id="R1e20c6d17bad4bfd" /><Relationship Type="http://schemas.openxmlformats.org/officeDocument/2006/relationships/worksheet" Target="/xl/worksheets/sheet1.xml" Id="R201a0e893ec14424" /><Relationship Type="http://schemas.openxmlformats.org/officeDocument/2006/relationships/worksheet" Target="/xl/worksheets/sheet2.xml" Id="Re69a25b474f541e9" /><Relationship Type="http://schemas.openxmlformats.org/officeDocument/2006/relationships/worksheet" Target="/xl/worksheets/sheet3.xml" Id="Rf6cb1a280fdd4065" /><Relationship Type="http://schemas.openxmlformats.org/officeDocument/2006/relationships/worksheet" Target="/xl/worksheets/sheet4.xml" Id="R8a014bbf86bb42da" /><Relationship Type="http://schemas.openxmlformats.org/officeDocument/2006/relationships/worksheet" Target="/xl/worksheets/sheet5.xml" Id="R3f47b8bed24744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4b485892b040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Activity records by area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'Overview'!$G$5:$G$9</c:f>
              <c:strCache>
                <c:ptCount val="0"/>
              </c:strCache>
            </c:strRef>
          </c:cat>
          <c:val>
            <c:numRef>
              <c:f>'Overview'!$H$5:$H$9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4b485892b0405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reaSummaryTable" displayName="AreaSummaryTable" ref="A1:J6" headerRowCount="1" totalsRowCount="0" totalsRowShown="0">
  <x:tableColumns count="10">
    <x:tableColumn id="1" name="Area"/>
    <x:tableColumn id="2" name="Scope Type"/>
    <x:tableColumn id="3" name="Total Records"/>
    <x:tableColumn id="4" name="Current / Active"/>
    <x:tableColumn id="5" name="Seasonal / Verify"/>
    <x:tableColumn id="6" name="Closed / Conflict"/>
    <x:tableColumn id="7" name="Nature / Hiking"/>
    <x:tableColumn id="8" name="Heritage / Culture"/>
    <x:tableColumn id="9" name="Family / Sport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ActivitiesTable" displayName="ActivitiesTable" ref="A1:S98" headerRowCount="1" totalsRowCount="0" totalsRowShown="0">
  <x:tableColumns count="19">
    <x:tableColumn id="1" name="ID"/>
    <x:tableColumn id="2" name="Area"/>
    <x:tableColumn id="3" name="Exact Locality"/>
    <x:tableColumn id="4" name="Activity / Place"/>
    <x:tableColumn id="5" name="Category"/>
    <x:tableColumn id="6" name="What You Can Do"/>
    <x:tableColumn id="7" name="Status"/>
    <x:tableColumn id="8" name="Status Group"/>
    <x:tableColumn id="9" name="Address / Area"/>
    <x:tableColumn id="10" name="Phone"/>
    <x:tableColumn id="11" name="Rating"/>
    <x:tableColumn id="12" name="Reviews"/>
    <x:tableColumn id="13" name="Hours / Seasonality"/>
    <x:tableColumn id="14" name="Confidence"/>
    <x:tableColumn id="15" name="Evidence Source"/>
    <x:tableColumn id="16" name="Source URL"/>
    <x:tableColumn id="17" name="Map / Search Link"/>
    <x:tableColumn id="18" name="Notes"/>
    <x:tableColumn id="19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eaDefinitionsTable" displayName="AreaDefinitionsTable" ref="A1:D6" headerRowCount="1" totalsRowCount="0" totalsRowShown="0">
  <x:tableColumns count="4">
    <x:tableColumn id="1" name="Area"/>
    <x:tableColumn id="2" name="Geographic Interpretation"/>
    <x:tableColumn id="3" name="Included Examples"/>
    <x:tableColumn id="4" name="Excluded / Ca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14" headerRowCount="1" totalsRowCount="0" totalsRowShown="0">
  <x:tableColumns count="4">
    <x:tableColumn id="1" name="Source"/>
    <x:tableColumn id="2" name="URL"/>
    <x:tableColumn id="3" name="Area(s)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07084a21f249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d388507db2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8f47eca9f234c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7a4afb549b49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36661af86464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4" max="4" width="24" hidden="0" customWidth="1"/>
    <x:col min="5" max="5" width="16" hidden="0" customWidth="1"/>
    <x:col min="7" max="7" width="18" hidden="0" customWidth="1"/>
    <x:col min="8" max="8" width="14" hidden="0" customWidth="1"/>
  </x:cols>
  <x:sheetData>
    <x:row r="1" ht="28" customHeight="1">
      <x:c r="A1" s="5" t="str">
        <x:v>North Lebanon &amp; Akkar — Activities Deep Research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Batroun • Tripoli • Ehden • Bsharri • Akkar | Public evidence checked 8 September 2026</x:v>
      </x:c>
      <x:c r="B2" s="12"/>
      <x:c r="C2" s="12"/>
      <x:c r="D2" s="12"/>
      <x:c r="E2" s="12"/>
      <x:c r="F2" s="12"/>
      <x:c r="G2" s="12"/>
      <x:c r="H2" s="12"/>
    </x:row>
    <x:row r="4">
      <x:c r="A4" s="30" t="str">
        <x:v>Scope</x:v>
      </x:c>
      <x:c r="B4" s="30" t="str">
        <x:v>Activities and visitable places: nature, hiking, heritage, museums, beaches/water sports, family play, sports, camping, viewpoints, festivals and cultural venues.</x:v>
      </x:c>
      <x:c r="C4" s="30"/>
      <x:c r="D4" s="26" t="str">
        <x:v>KPI</x:v>
      </x:c>
      <x:c r="E4" s="26" t="str">
        <x:v>Value</x:v>
      </x:c>
      <x:c r="F4" s="30"/>
      <x:c r="G4" s="26" t="str">
        <x:v>Area</x:v>
      </x:c>
      <x:c r="H4" s="26" t="str">
        <x:v>Records</x:v>
      </x:c>
    </x:row>
    <x:row r="5">
      <x:c r="A5" s="30" t="str">
        <x:v>Geographic rule</x:v>
      </x:c>
      <x:c r="B5" s="30" t="str">
        <x:v>Every record has an Exact Locality field. Wider-area attractions are not mislabeled as city-center venues.</x:v>
      </x:c>
      <x:c r="C5" s="30"/>
      <x:c r="D5" s="30" t="str">
        <x:v>Areas researched</x:v>
      </x:c>
      <x:c r="E5" s="30" t="n">
        <x:v>5</x:v>
      </x:c>
      <x:c r="F5" s="30"/>
      <x:c r="G5" s="30" t="str">
        <x:v>Batroun</x:v>
      </x:c>
      <x:c r="H5" s="30" t="n">
        <x:f>COUNTIF('Activities'!$B$2:$B$98,"Batroun")</x:f>
        <x:v>22</x:v>
      </x:c>
    </x:row>
    <x:row r="6">
      <x:c r="A6" s="30" t="str">
        <x:v>Restaurants/cafés</x:v>
      </x:c>
      <x:c r="B6" s="30" t="str">
        <x:v>Ordinary dining venues are excluded unless the venue itself provides an activity.</x:v>
      </x:c>
      <x:c r="C6" s="30"/>
      <x:c r="D6" s="30" t="str">
        <x:v>Activity/place records</x:v>
      </x:c>
      <x:c r="E6" s="30" t="n">
        <x:f>COUNTA('Activities'!D2:D98)</x:f>
        <x:v>97</x:v>
      </x:c>
      <x:c r="F6" s="30"/>
      <x:c r="G6" s="30" t="str">
        <x:v>Tripoli</x:v>
      </x:c>
      <x:c r="H6" s="30" t="n">
        <x:f>COUNTIF('Activities'!$B$2:$B$98,"Tripoli")</x:f>
        <x:v>25</x:v>
      </x:c>
    </x:row>
    <x:row r="7">
      <x:c r="A7" s="30" t="str">
        <x:v>Current status</x:v>
      </x:c>
      <x:c r="B7" s="30" t="str">
        <x:v>Current map/business status is used when available; official/heritage sources override generic directory errors when appropriate.</x:v>
      </x:c>
      <x:c r="C7" s="30"/>
      <x:c r="D7" s="30" t="str">
        <x:v>Batroun records</x:v>
      </x:c>
      <x:c r="E7" s="30" t="n">
        <x:f>COUNTIF('Activities'!$B$2:$B$98,"Batroun")</x:f>
        <x:v>22</x:v>
      </x:c>
      <x:c r="F7" s="30"/>
      <x:c r="G7" s="30" t="str">
        <x:v>Ehden</x:v>
      </x:c>
      <x:c r="H7" s="30" t="n">
        <x:f>COUNTIF('Activities'!$B$2:$B$98,"Ehden")</x:f>
        <x:v>16</x:v>
      </x:c>
    </x:row>
    <x:row r="8">
      <x:c r="A8" s="30" t="str">
        <x:v>Akkar treatment</x:v>
      </x:c>
      <x:c r="B8" s="30" t="str">
        <x:v>Akkar is handled as a governorate-level region with multiple sublocalities, not as one town.</x:v>
      </x:c>
      <x:c r="C8" s="30"/>
      <x:c r="D8" s="30" t="str">
        <x:v>Tripoli records</x:v>
      </x:c>
      <x:c r="E8" s="30" t="n">
        <x:f>COUNTIF('Activities'!$B$2:$B$98,"Tripoli")</x:f>
        <x:v>25</x:v>
      </x:c>
      <x:c r="F8" s="30"/>
      <x:c r="G8" s="30" t="str">
        <x:v>Bsharri</x:v>
      </x:c>
      <x:c r="H8" s="30" t="n">
        <x:f>COUNTIF('Activities'!$B$2:$B$98,"Bsharri")</x:f>
        <x:v>11</x:v>
      </x:c>
    </x:row>
    <x:row r="9">
      <x:c r="A9" s="30" t="str">
        <x:v>Access caution</x:v>
      </x:c>
      <x:c r="B9" s="30" t="str">
        <x:v>Natural reserves, caves, trails, ski areas and islands can have seasonal/weather/security/access restrictions.</x:v>
      </x:c>
      <x:c r="C9" s="30"/>
      <x:c r="D9" s="30" t="str">
        <x:v>Ehden records</x:v>
      </x:c>
      <x:c r="E9" s="30" t="n">
        <x:f>COUNTIF('Activities'!$B$2:$B$98,"Ehden")</x:f>
        <x:v>16</x:v>
      </x:c>
      <x:c r="F9" s="30"/>
      <x:c r="G9" s="30" t="str">
        <x:v>Akkar</x:v>
      </x:c>
      <x:c r="H9" s="30" t="n">
        <x:f>COUNTIF('Activities'!$B$2:$B$98,"Akkar")</x:f>
        <x:v>23</x:v>
      </x:c>
    </x:row>
    <x:row r="10">
      <x:c r="A10" s="30" t="str">
        <x:v>Research standard</x:v>
      </x:c>
      <x:c r="B10" s="30" t="str">
        <x:v>Publicly verifiable deep-search master list; not proof that no unindexed local activity exists.</x:v>
      </x:c>
      <x:c r="C10" s="30"/>
      <x:c r="D10" s="30" t="str">
        <x:v>Bsharri records</x:v>
      </x:c>
      <x:c r="E10" s="30" t="n">
        <x:f>COUNTIF('Activities'!$B$2:$B$98,"Bsharri")</x:f>
        <x:v>11</x:v>
      </x:c>
      <x:c r="F10" s="30"/>
      <x:c r="G10" s="30"/>
      <x:c r="H10" s="30"/>
    </x:row>
    <x:row r="11">
      <x:c r="A11" s="30"/>
      <x:c r="B11" s="30"/>
      <x:c r="C11" s="30"/>
      <x:c r="D11" s="30" t="str">
        <x:v>Akkar records</x:v>
      </x:c>
      <x:c r="E11" s="30" t="n">
        <x:f>COUNTIF('Activities'!$B$2:$B$98,"Akkar")</x:f>
        <x:v>23</x:v>
      </x:c>
      <x:c r="F11" s="30"/>
      <x:c r="G11" s="30"/>
      <x:c r="H11" s="30"/>
    </x:row>
    <x:row r="12">
      <x:c r="A12" s="30"/>
      <x:c r="B12" s="30"/>
      <x:c r="C12" s="30"/>
      <x:c r="D12" s="30"/>
      <x:c r="E12" s="30"/>
      <x:c r="F12" s="30"/>
      <x:c r="G12" s="30"/>
      <x:c r="H12" s="30"/>
    </x:row>
    <x:row r="13">
      <x:c r="A13" s="26" t="str">
        <x:v>Status guide</x:v>
      </x:c>
      <x:c r="B13" s="26" t="str">
        <x:v>Meaning</x:v>
      </x:c>
      <x:c r="C13" s="30"/>
      <x:c r="D13" s="30"/>
      <x:c r="E13" s="30"/>
      <x:c r="F13" s="30"/>
      <x:c r="G13" s="30"/>
      <x:c r="H13" s="30"/>
    </x:row>
    <x:row r="14">
      <x:c r="A14" s="30" t="str">
        <x:v>Current / Active</x:v>
      </x:c>
      <x:c r="B14" s="30" t="str">
        <x:v>Current public/business evidence with exact locality or open public-area evidence.</x:v>
      </x:c>
      <x:c r="C14" s="30"/>
      <x:c r="D14" s="30"/>
      <x:c r="E14" s="30"/>
      <x:c r="F14" s="30"/>
      <x:c r="G14" s="30"/>
      <x:c r="H14" s="30"/>
    </x:row>
    <x:row r="15">
      <x:c r="A15" s="30" t="str">
        <x:v>Seasonal / Verify</x:v>
      </x:c>
      <x:c r="B15" s="30" t="str">
        <x:v>Exists, but depends on season, weather, booking or practical access.</x:v>
      </x:c>
      <x:c r="C15" s="30"/>
      <x:c r="D15" s="30"/>
      <x:c r="E15" s="30"/>
      <x:c r="F15" s="30"/>
      <x:c r="G15" s="30"/>
      <x:c r="H15" s="30"/>
    </x:row>
    <x:row r="16">
      <x:c r="A16" s="30" t="str">
        <x:v>Heritage / Long-lived</x:v>
      </x:c>
      <x:c r="B16" s="30" t="str">
        <x:v>Established natural/heritage feature; access should still be checked.</x:v>
      </x:c>
      <x:c r="C16" s="30"/>
      <x:c r="D16" s="30"/>
      <x:c r="E16" s="30"/>
      <x:c r="F16" s="30"/>
      <x:c r="G16" s="30"/>
      <x:c r="H16" s="30"/>
    </x:row>
    <x:row r="17">
      <x:c r="A17" s="30" t="str">
        <x:v>Closed / Conflict</x:v>
      </x:c>
      <x:c r="B17" s="30" t="str">
        <x:v>Current sources report closure or disagree materially.</x:v>
      </x:c>
      <x:c r="C17" s="30"/>
      <x:c r="D17" s="30"/>
      <x:c r="E17" s="30"/>
      <x:c r="F17" s="30"/>
      <x:c r="G17" s="30"/>
      <x:c r="H17" s="30"/>
    </x:row>
    <x:row r="18">
      <x:c r="A18" s="30" t="str">
        <x:v>Exact Locality</x:v>
      </x:c>
      <x:c r="B18" s="30" t="str">
        <x:v>Use this field to distinguish city-center from wider-area attractions.</x:v>
      </x:c>
      <x:c r="C18" s="30"/>
      <x:c r="D18" s="30"/>
      <x:c r="E18" s="30"/>
      <x:c r="F18" s="30"/>
      <x:c r="G18" s="30"/>
      <x:c r="H18" s="30"/>
    </x:row>
    <x:row r="19">
      <x:c r="A19" s="30" t="str">
        <x:v>Confidence</x:v>
      </x:c>
      <x:c r="B19" s="30" t="str">
        <x:v>High = strong exact evidence; Medium = useful current lead that merits a practical check.</x:v>
      </x:c>
      <x:c r="C19" s="30"/>
      <x:c r="D19" s="30"/>
      <x:c r="E19" s="30"/>
      <x:c r="F19" s="30"/>
      <x:c r="G19" s="30"/>
      <x:c r="H19" s="30"/>
    </x:row>
    <x:row r="20">
      <x:c r="A20" s="30" t="str">
        <x:v>Last Checked</x:v>
      </x:c>
      <x:c r="B20" s="30" t="str">
        <x:v>Research snapshot date; access conditions can change.</x:v>
      </x:c>
      <x:c r="C20" s="30"/>
      <x:c r="D20" s="30"/>
      <x:c r="E20" s="30"/>
      <x:c r="F20" s="30"/>
      <x:c r="G20" s="30"/>
      <x:c r="H20" s="30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207084a21f2499b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14" hidden="0" customWidth="1"/>
    <x:col min="4" max="4" width="17" hidden="0" customWidth="1"/>
    <x:col min="5" max="5" width="18" hidden="0" customWidth="1"/>
    <x:col min="6" max="6" width="17" hidden="0" customWidth="1"/>
    <x:col min="7" max="7" width="17" hidden="0" customWidth="1"/>
    <x:col min="8" max="8" width="19" hidden="0" customWidth="1"/>
    <x:col min="9" max="9" width="18" hidden="0" customWidth="1"/>
    <x:col min="10" max="10" width="61" hidden="0" customWidth="1"/>
  </x:cols>
  <x:sheetData>
    <x:row r="1" ht="38" customHeight="1">
      <x:c r="A1" s="26" t="str">
        <x:v>Area</x:v>
      </x:c>
      <x:c r="B1" s="26" t="str">
        <x:v>Scope Type</x:v>
      </x:c>
      <x:c r="C1" s="26" t="str">
        <x:v>Total Records</x:v>
      </x:c>
      <x:c r="D1" s="26" t="str">
        <x:v>Current / Active</x:v>
      </x:c>
      <x:c r="E1" s="26" t="str">
        <x:v>Seasonal / Verify</x:v>
      </x:c>
      <x:c r="F1" s="26" t="str">
        <x:v>Closed / Conflict</x:v>
      </x:c>
      <x:c r="G1" s="26" t="str">
        <x:v>Nature / Hiking</x:v>
      </x:c>
      <x:c r="H1" s="26" t="str">
        <x:v>Heritage / Culture</x:v>
      </x:c>
      <x:c r="I1" s="26" t="str">
        <x:v>Family / Sports</x:v>
      </x:c>
      <x:c r="J1" s="26" t="str">
        <x:v>Notes</x:v>
      </x:c>
    </x:row>
    <x:row r="2">
      <x:c r="A2" s="30" t="str">
        <x:v>Batroun</x:v>
      </x:c>
      <x:c r="B2" s="30" t="str">
        <x:v>Destination area / city + nearby Batroun-district attractions</x:v>
      </x:c>
      <x:c r="C2" s="30" t="n">
        <x:f>COUNTIF('Activities'!$B$2:$B$98,A2)</x:f>
        <x:v>22</x:v>
      </x:c>
      <x:c r="D2" s="30" t="n">
        <x:f>COUNTIFS('Activities'!$B$2:$B$98,A2,'Activities'!$H$2:$H$98,"Current / Active")</x:f>
        <x:v>19</x:v>
      </x:c>
      <x:c r="E2" s="30" t="n">
        <x:f>COUNTIFS('Activities'!$B$2:$B$98,A2,'Activities'!$H$2:$H$98,"Seasonal / Verify")+COUNTIFS('Activities'!$B$2:$B$98,A2,'Activities'!$H$2:$H$98,"Heritage / Long-lived")</x:f>
        <x:v>1</x:v>
      </x:c>
      <x:c r="F2" s="30" t="n">
        <x:f>COUNTIFS('Activities'!$B$2:$B$98,A2,'Activities'!$H$2:$H$98,"Closed / Conflict")</x:f>
        <x:v>2</x:v>
      </x:c>
      <x:c r="G2" s="30" t="n">
        <x:f>COUNTIFS('Activities'!$B$2:$B$98,A2,'Activities'!$E$2:$E$98,"Nature / Hiking")+COUNTIFS('Activities'!$B$2:$B$98,A2,'Activities'!$E$2:$E$98,"Nature / Water")+COUNTIFS('Activities'!$B$2:$B$98,A2,'Activities'!$E$2:$E$98,"Nature / Cave")+COUNTIFS('Activities'!$B$2:$B$98,A2,'Activities'!$E$2:$E$98,"Nature / Heritage")+COUNTIFS('Activities'!$B$2:$B$98,A2,'Activities'!$E$2:$E$98,"Heritage / Hiking")+COUNTIFS('Activities'!$B$2:$B$98,A2,'Activities'!$E$2:$E$98,"Nature / Education")</x:f>
        <x:v>1</x:v>
      </x:c>
      <x:c r="H2" s="30" t="n">
        <x:f>COUNTIFS('Activities'!$B$2:$B$98,A2,'Activities'!$E$2:$E$98,"Heritage / Culture")+COUNTIFS('Activities'!$B$2:$B$98,A2,'Activities'!$E$2:$E$98,"Heritage / Religious")+COUNTIFS('Activities'!$B$2:$B$98,A2,'Activities'!$E$2:$E$98,"Heritage / Crafts")+COUNTIFS('Activities'!$B$2:$B$98,A2,'Activities'!$E$2:$E$98,"Heritage / Architecture")+COUNTIFS('Activities'!$B$2:$B$98,A2,'Activities'!$E$2:$E$98,"Heritage / Local Landmark")+COUNTIFS('Activities'!$B$2:$B$98,A2,'Activities'!$E$2:$E$98,"Heritage / Archaeology")+COUNTIFS('Activities'!$B$2:$B$98,A2,'Activities'!$E$2:$E$98,"Museum / Culture")+COUNTIFS('Activities'!$B$2:$B$98,A2,'Activities'!$E$2:$E$98,"Museum / Education")+COUNTIFS('Activities'!$B$2:$B$98,A2,'Activities'!$E$2:$E$98,"Museum / Heritage")+COUNTIFS('Activities'!$B$2:$B$98,A2,'Activities'!$E$2:$E$98,"Culture / Education")+COUNTIFS('Activities'!$B$2:$B$98,A2,'Activities'!$E$2:$E$98,"Guided / Cultural")</x:f>
        <x:v>10</x:v>
      </x:c>
      <x:c r="I2" s="30" t="n">
        <x:f>COUNTIFS('Activities'!$B$2:$B$98,A2,'Activities'!$E$2:$E$98,"Family / Play")+COUNTIFS('Activities'!$B$2:$B$98,A2,'Activities'!$E$2:$E$98,"Family / Entertainment")+COUNTIFS('Activities'!$B$2:$B$98,A2,'Activities'!$E$2:$E$98,"Sports / Adventure")+COUNTIFS('Activities'!$B$2:$B$98,A2,'Activities'!$E$2:$E$98,"Sports / Fitness")+COUNTIFS('Activities'!$B$2:$B$98,A2,'Activities'!$E$2:$E$98,"Sports / Winter")+COUNTIFS('Activities'!$B$2:$B$98,A2,'Activities'!$E$2:$E$98,"Parks / Family")+COUNTIFS('Activities'!$B$2:$B$98,A2,'Activities'!$E$2:$E$98,"Resort / Pool")+COUNTIFS('Activities'!$B$2:$B$98,A2,'Activities'!$E$2:$E$98,"Camping / Outdoor")+COUNTIFS('Activities'!$B$2:$B$98,A2,'Activities'!$E$2:$E$98,"Event / Festival")</x:f>
        <x:v>7</x:v>
      </x:c>
      <x:c r="J2" s="30" t="str">
        <x:v>Exact Locality distinguishes central Batroun from Hamat, El Heri, Tehoum and nearby district locations.</x:v>
      </x:c>
    </x:row>
    <x:row r="3">
      <x:c r="A3" s="30" t="str">
        <x:v>Tripoli</x:v>
      </x:c>
      <x:c r="B3" s="30" t="str">
        <x:v>Tripoli city + El Mina + offshore Palm Islands</x:v>
      </x:c>
      <x:c r="C3" s="30" t="n">
        <x:f>COUNTIF('Activities'!$B$2:$B$98,A3)</x:f>
        <x:v>25</x:v>
      </x:c>
      <x:c r="D3" s="30" t="n">
        <x:f>COUNTIFS('Activities'!$B$2:$B$98,A3,'Activities'!$H$2:$H$98,"Current / Active")</x:f>
        <x:v>21</x:v>
      </x:c>
      <x:c r="E3" s="30" t="n">
        <x:f>COUNTIFS('Activities'!$B$2:$B$98,A3,'Activities'!$H$2:$H$98,"Seasonal / Verify")+COUNTIFS('Activities'!$B$2:$B$98,A3,'Activities'!$H$2:$H$98,"Heritage / Long-lived")</x:f>
        <x:v>3</x:v>
      </x:c>
      <x:c r="F3" s="30" t="n">
        <x:f>COUNTIFS('Activities'!$B$2:$B$98,A3,'Activities'!$H$2:$H$98,"Closed / Conflict")</x:f>
        <x:v>1</x:v>
      </x:c>
      <x:c r="G3" s="30" t="n">
        <x:f>COUNTIFS('Activities'!$B$2:$B$98,A3,'Activities'!$E$2:$E$98,"Nature / Hiking")+COUNTIFS('Activities'!$B$2:$B$98,A3,'Activities'!$E$2:$E$98,"Nature / Water")+COUNTIFS('Activities'!$B$2:$B$98,A3,'Activities'!$E$2:$E$98,"Nature / Cave")+COUNTIFS('Activities'!$B$2:$B$98,A3,'Activities'!$E$2:$E$98,"Nature / Heritage")+COUNTIFS('Activities'!$B$2:$B$98,A3,'Activities'!$E$2:$E$98,"Heritage / Hiking")+COUNTIFS('Activities'!$B$2:$B$98,A3,'Activities'!$E$2:$E$98,"Nature / Education")</x:f>
        <x:v>1</x:v>
      </x:c>
      <x:c r="H3" s="30" t="n">
        <x:f>COUNTIFS('Activities'!$B$2:$B$98,A3,'Activities'!$E$2:$E$98,"Heritage / Culture")+COUNTIFS('Activities'!$B$2:$B$98,A3,'Activities'!$E$2:$E$98,"Heritage / Religious")+COUNTIFS('Activities'!$B$2:$B$98,A3,'Activities'!$E$2:$E$98,"Heritage / Crafts")+COUNTIFS('Activities'!$B$2:$B$98,A3,'Activities'!$E$2:$E$98,"Heritage / Architecture")+COUNTIFS('Activities'!$B$2:$B$98,A3,'Activities'!$E$2:$E$98,"Heritage / Local Landmark")+COUNTIFS('Activities'!$B$2:$B$98,A3,'Activities'!$E$2:$E$98,"Heritage / Archaeology")+COUNTIFS('Activities'!$B$2:$B$98,A3,'Activities'!$E$2:$E$98,"Museum / Culture")+COUNTIFS('Activities'!$B$2:$B$98,A3,'Activities'!$E$2:$E$98,"Museum / Education")+COUNTIFS('Activities'!$B$2:$B$98,A3,'Activities'!$E$2:$E$98,"Museum / Heritage")+COUNTIFS('Activities'!$B$2:$B$98,A3,'Activities'!$E$2:$E$98,"Culture / Education")+COUNTIFS('Activities'!$B$2:$B$98,A3,'Activities'!$E$2:$E$98,"Guided / Cultural")</x:f>
        <x:v>14</x:v>
      </x:c>
      <x:c r="I3" s="30" t="n">
        <x:f>COUNTIFS('Activities'!$B$2:$B$98,A3,'Activities'!$E$2:$E$98,"Family / Play")+COUNTIFS('Activities'!$B$2:$B$98,A3,'Activities'!$E$2:$E$98,"Family / Entertainment")+COUNTIFS('Activities'!$B$2:$B$98,A3,'Activities'!$E$2:$E$98,"Sports / Adventure")+COUNTIFS('Activities'!$B$2:$B$98,A3,'Activities'!$E$2:$E$98,"Sports / Fitness")+COUNTIFS('Activities'!$B$2:$B$98,A3,'Activities'!$E$2:$E$98,"Sports / Winter")+COUNTIFS('Activities'!$B$2:$B$98,A3,'Activities'!$E$2:$E$98,"Parks / Family")+COUNTIFS('Activities'!$B$2:$B$98,A3,'Activities'!$E$2:$E$98,"Resort / Pool")+COUNTIFS('Activities'!$B$2:$B$98,A3,'Activities'!$E$2:$E$98,"Camping / Outdoor")+COUNTIFS('Activities'!$B$2:$B$98,A3,'Activities'!$E$2:$E$98,"Event / Festival")</x:f>
        <x:v>8</x:v>
      </x:c>
      <x:c r="J3" s="30" t="str">
        <x:v>El Mina and Palm Islands are kept as exact sublocations.</x:v>
      </x:c>
    </x:row>
    <x:row r="4">
      <x:c r="A4" s="30" t="str">
        <x:v>Ehden</x:v>
      </x:c>
      <x:c r="B4" s="30" t="str">
        <x:v>Ehden destination</x:v>
      </x:c>
      <x:c r="C4" s="30" t="n">
        <x:f>COUNTIF('Activities'!$B$2:$B$98,A4)</x:f>
        <x:v>16</x:v>
      </x:c>
      <x:c r="D4" s="30" t="n">
        <x:f>COUNTIFS('Activities'!$B$2:$B$98,A4,'Activities'!$H$2:$H$98,"Current / Active")</x:f>
        <x:v>12</x:v>
      </x:c>
      <x:c r="E4" s="30" t="n">
        <x:f>COUNTIFS('Activities'!$B$2:$B$98,A4,'Activities'!$H$2:$H$98,"Seasonal / Verify")+COUNTIFS('Activities'!$B$2:$B$98,A4,'Activities'!$H$2:$H$98,"Heritage / Long-lived")</x:f>
        <x:v>3</x:v>
      </x:c>
      <x:c r="F4" s="30" t="n">
        <x:f>COUNTIFS('Activities'!$B$2:$B$98,A4,'Activities'!$H$2:$H$98,"Closed / Conflict")</x:f>
        <x:v>1</x:v>
      </x:c>
      <x:c r="G4" s="30" t="n">
        <x:f>COUNTIFS('Activities'!$B$2:$B$98,A4,'Activities'!$E$2:$E$98,"Nature / Hiking")+COUNTIFS('Activities'!$B$2:$B$98,A4,'Activities'!$E$2:$E$98,"Nature / Water")+COUNTIFS('Activities'!$B$2:$B$98,A4,'Activities'!$E$2:$E$98,"Nature / Cave")+COUNTIFS('Activities'!$B$2:$B$98,A4,'Activities'!$E$2:$E$98,"Nature / Heritage")+COUNTIFS('Activities'!$B$2:$B$98,A4,'Activities'!$E$2:$E$98,"Heritage / Hiking")+COUNTIFS('Activities'!$B$2:$B$98,A4,'Activities'!$E$2:$E$98,"Nature / Education")</x:f>
        <x:v>1</x:v>
      </x:c>
      <x:c r="H4" s="30" t="n">
        <x:f>COUNTIFS('Activities'!$B$2:$B$98,A4,'Activities'!$E$2:$E$98,"Heritage / Culture")+COUNTIFS('Activities'!$B$2:$B$98,A4,'Activities'!$E$2:$E$98,"Heritage / Religious")+COUNTIFS('Activities'!$B$2:$B$98,A4,'Activities'!$E$2:$E$98,"Heritage / Crafts")+COUNTIFS('Activities'!$B$2:$B$98,A4,'Activities'!$E$2:$E$98,"Heritage / Architecture")+COUNTIFS('Activities'!$B$2:$B$98,A4,'Activities'!$E$2:$E$98,"Heritage / Local Landmark")+COUNTIFS('Activities'!$B$2:$B$98,A4,'Activities'!$E$2:$E$98,"Heritage / Archaeology")+COUNTIFS('Activities'!$B$2:$B$98,A4,'Activities'!$E$2:$E$98,"Museum / Culture")+COUNTIFS('Activities'!$B$2:$B$98,A4,'Activities'!$E$2:$E$98,"Museum / Education")+COUNTIFS('Activities'!$B$2:$B$98,A4,'Activities'!$E$2:$E$98,"Museum / Heritage")+COUNTIFS('Activities'!$B$2:$B$98,A4,'Activities'!$E$2:$E$98,"Culture / Education")+COUNTIFS('Activities'!$B$2:$B$98,A4,'Activities'!$E$2:$E$98,"Guided / Cultural")</x:f>
        <x:v>3</x:v>
      </x:c>
      <x:c r="I4" s="30" t="n">
        <x:f>COUNTIFS('Activities'!$B$2:$B$98,A4,'Activities'!$E$2:$E$98,"Family / Play")+COUNTIFS('Activities'!$B$2:$B$98,A4,'Activities'!$E$2:$E$98,"Family / Entertainment")+COUNTIFS('Activities'!$B$2:$B$98,A4,'Activities'!$E$2:$E$98,"Sports / Adventure")+COUNTIFS('Activities'!$B$2:$B$98,A4,'Activities'!$E$2:$E$98,"Sports / Fitness")+COUNTIFS('Activities'!$B$2:$B$98,A4,'Activities'!$E$2:$E$98,"Sports / Winter")+COUNTIFS('Activities'!$B$2:$B$98,A4,'Activities'!$E$2:$E$98,"Parks / Family")+COUNTIFS('Activities'!$B$2:$B$98,A4,'Activities'!$E$2:$E$98,"Resort / Pool")+COUNTIFS('Activities'!$B$2:$B$98,A4,'Activities'!$E$2:$E$98,"Camping / Outdoor")+COUNTIFS('Activities'!$B$2:$B$98,A4,'Activities'!$E$2:$E$98,"Event / Festival")</x:f>
        <x:v>11</x:v>
      </x:c>
      <x:c r="J4" s="30" t="str">
        <x:v>Includes official Visit Ehden activities and current map listings.</x:v>
      </x:c>
    </x:row>
    <x:row r="5">
      <x:c r="A5" s="30" t="str">
        <x:v>Bsharri</x:v>
      </x:c>
      <x:c r="B5" s="30" t="str">
        <x:v>Bsharri + Al Arz + Qadisha Valley activity zone</x:v>
      </x:c>
      <x:c r="C5" s="30" t="n">
        <x:f>COUNTIF('Activities'!$B$2:$B$98,A5)</x:f>
        <x:v>11</x:v>
      </x:c>
      <x:c r="D5" s="30" t="n">
        <x:f>COUNTIFS('Activities'!$B$2:$B$98,A5,'Activities'!$H$2:$H$98,"Current / Active")</x:f>
        <x:v>5</x:v>
      </x:c>
      <x:c r="E5" s="30" t="n">
        <x:f>COUNTIFS('Activities'!$B$2:$B$98,A5,'Activities'!$H$2:$H$98,"Seasonal / Verify")+COUNTIFS('Activities'!$B$2:$B$98,A5,'Activities'!$H$2:$H$98,"Heritage / Long-lived")</x:f>
        <x:v>6</x:v>
      </x:c>
      <x:c r="F5" s="30" t="n">
        <x:f>COUNTIFS('Activities'!$B$2:$B$98,A5,'Activities'!$H$2:$H$98,"Closed / Conflict")</x:f>
        <x:v>0</x:v>
      </x:c>
      <x:c r="G5" s="30" t="n">
        <x:f>COUNTIFS('Activities'!$B$2:$B$98,A5,'Activities'!$E$2:$E$98,"Nature / Hiking")+COUNTIFS('Activities'!$B$2:$B$98,A5,'Activities'!$E$2:$E$98,"Nature / Water")+COUNTIFS('Activities'!$B$2:$B$98,A5,'Activities'!$E$2:$E$98,"Nature / Cave")+COUNTIFS('Activities'!$B$2:$B$98,A5,'Activities'!$E$2:$E$98,"Nature / Heritage")+COUNTIFS('Activities'!$B$2:$B$98,A5,'Activities'!$E$2:$E$98,"Heritage / Hiking")+COUNTIFS('Activities'!$B$2:$B$98,A5,'Activities'!$E$2:$E$98,"Nature / Education")</x:f>
        <x:v>5</x:v>
      </x:c>
      <x:c r="H5" s="30" t="n">
        <x:f>COUNTIFS('Activities'!$B$2:$B$98,A5,'Activities'!$E$2:$E$98,"Heritage / Culture")+COUNTIFS('Activities'!$B$2:$B$98,A5,'Activities'!$E$2:$E$98,"Heritage / Religious")+COUNTIFS('Activities'!$B$2:$B$98,A5,'Activities'!$E$2:$E$98,"Heritage / Crafts")+COUNTIFS('Activities'!$B$2:$B$98,A5,'Activities'!$E$2:$E$98,"Heritage / Architecture")+COUNTIFS('Activities'!$B$2:$B$98,A5,'Activities'!$E$2:$E$98,"Heritage / Local Landmark")+COUNTIFS('Activities'!$B$2:$B$98,A5,'Activities'!$E$2:$E$98,"Heritage / Archaeology")+COUNTIFS('Activities'!$B$2:$B$98,A5,'Activities'!$E$2:$E$98,"Museum / Culture")+COUNTIFS('Activities'!$B$2:$B$98,A5,'Activities'!$E$2:$E$98,"Museum / Education")+COUNTIFS('Activities'!$B$2:$B$98,A5,'Activities'!$E$2:$E$98,"Museum / Heritage")+COUNTIFS('Activities'!$B$2:$B$98,A5,'Activities'!$E$2:$E$98,"Culture / Education")+COUNTIFS('Activities'!$B$2:$B$98,A5,'Activities'!$E$2:$E$98,"Guided / Cultural")</x:f>
        <x:v>4</x:v>
      </x:c>
      <x:c r="I5" s="30" t="n">
        <x:f>COUNTIFS('Activities'!$B$2:$B$98,A5,'Activities'!$E$2:$E$98,"Family / Play")+COUNTIFS('Activities'!$B$2:$B$98,A5,'Activities'!$E$2:$E$98,"Family / Entertainment")+COUNTIFS('Activities'!$B$2:$B$98,A5,'Activities'!$E$2:$E$98,"Sports / Adventure")+COUNTIFS('Activities'!$B$2:$B$98,A5,'Activities'!$E$2:$E$98,"Sports / Fitness")+COUNTIFS('Activities'!$B$2:$B$98,A5,'Activities'!$E$2:$E$98,"Sports / Winter")+COUNTIFS('Activities'!$B$2:$B$98,A5,'Activities'!$E$2:$E$98,"Parks / Family")+COUNTIFS('Activities'!$B$2:$B$98,A5,'Activities'!$E$2:$E$98,"Resort / Pool")+COUNTIFS('Activities'!$B$2:$B$98,A5,'Activities'!$E$2:$E$98,"Camping / Outdoor")+COUNTIFS('Activities'!$B$2:$B$98,A5,'Activities'!$E$2:$E$98,"Event / Festival")</x:f>
        <x:v>1</x:v>
      </x:c>
      <x:c r="J5" s="30" t="str">
        <x:v>Exact Locality distinguishes Bsharri town, Al Arz and Qadisha sites.</x:v>
      </x:c>
    </x:row>
    <x:row r="6">
      <x:c r="A6" s="30" t="str">
        <x:v>Akkar</x:v>
      </x:c>
      <x:c r="B6" s="30" t="str">
        <x:v>Governorate / regional destination</x:v>
      </x:c>
      <x:c r="C6" s="30" t="n">
        <x:f>COUNTIF('Activities'!$B$2:$B$98,A6)</x:f>
        <x:v>23</x:v>
      </x:c>
      <x:c r="D6" s="30" t="n">
        <x:f>COUNTIFS('Activities'!$B$2:$B$98,A6,'Activities'!$H$2:$H$98,"Current / Active")</x:f>
        <x:v>14</x:v>
      </x:c>
      <x:c r="E6" s="30" t="n">
        <x:f>COUNTIFS('Activities'!$B$2:$B$98,A6,'Activities'!$H$2:$H$98,"Seasonal / Verify")+COUNTIFS('Activities'!$B$2:$B$98,A6,'Activities'!$H$2:$H$98,"Heritage / Long-lived")</x:f>
        <x:v>9</x:v>
      </x:c>
      <x:c r="F6" s="30" t="n">
        <x:f>COUNTIFS('Activities'!$B$2:$B$98,A6,'Activities'!$H$2:$H$98,"Closed / Conflict")</x:f>
        <x:v>0</x:v>
      </x:c>
      <x:c r="G6" s="30" t="n">
        <x:f>COUNTIFS('Activities'!$B$2:$B$98,A6,'Activities'!$E$2:$E$98,"Nature / Hiking")+COUNTIFS('Activities'!$B$2:$B$98,A6,'Activities'!$E$2:$E$98,"Nature / Water")+COUNTIFS('Activities'!$B$2:$B$98,A6,'Activities'!$E$2:$E$98,"Nature / Cave")+COUNTIFS('Activities'!$B$2:$B$98,A6,'Activities'!$E$2:$E$98,"Nature / Heritage")+COUNTIFS('Activities'!$B$2:$B$98,A6,'Activities'!$E$2:$E$98,"Heritage / Hiking")+COUNTIFS('Activities'!$B$2:$B$98,A6,'Activities'!$E$2:$E$98,"Nature / Education")</x:f>
        <x:v>12</x:v>
      </x:c>
      <x:c r="H6" s="30" t="n">
        <x:f>COUNTIFS('Activities'!$B$2:$B$98,A6,'Activities'!$E$2:$E$98,"Heritage / Culture")+COUNTIFS('Activities'!$B$2:$B$98,A6,'Activities'!$E$2:$E$98,"Heritage / Religious")+COUNTIFS('Activities'!$B$2:$B$98,A6,'Activities'!$E$2:$E$98,"Heritage / Crafts")+COUNTIFS('Activities'!$B$2:$B$98,A6,'Activities'!$E$2:$E$98,"Heritage / Architecture")+COUNTIFS('Activities'!$B$2:$B$98,A6,'Activities'!$E$2:$E$98,"Heritage / Local Landmark")+COUNTIFS('Activities'!$B$2:$B$98,A6,'Activities'!$E$2:$E$98,"Heritage / Archaeology")+COUNTIFS('Activities'!$B$2:$B$98,A6,'Activities'!$E$2:$E$98,"Museum / Culture")+COUNTIFS('Activities'!$B$2:$B$98,A6,'Activities'!$E$2:$E$98,"Museum / Education")+COUNTIFS('Activities'!$B$2:$B$98,A6,'Activities'!$E$2:$E$98,"Museum / Heritage")+COUNTIFS('Activities'!$B$2:$B$98,A6,'Activities'!$E$2:$E$98,"Culture / Education")+COUNTIFS('Activities'!$B$2:$B$98,A6,'Activities'!$E$2:$E$98,"Guided / Cultural")</x:f>
        <x:v>6</x:v>
      </x:c>
      <x:c r="I6" s="30" t="n">
        <x:f>COUNTIFS('Activities'!$B$2:$B$98,A6,'Activities'!$E$2:$E$98,"Family / Play")+COUNTIFS('Activities'!$B$2:$B$98,A6,'Activities'!$E$2:$E$98,"Family / Entertainment")+COUNTIFS('Activities'!$B$2:$B$98,A6,'Activities'!$E$2:$E$98,"Sports / Adventure")+COUNTIFS('Activities'!$B$2:$B$98,A6,'Activities'!$E$2:$E$98,"Sports / Fitness")+COUNTIFS('Activities'!$B$2:$B$98,A6,'Activities'!$E$2:$E$98,"Sports / Winter")+COUNTIFS('Activities'!$B$2:$B$98,A6,'Activities'!$E$2:$E$98,"Parks / Family")+COUNTIFS('Activities'!$B$2:$B$98,A6,'Activities'!$E$2:$E$98,"Resort / Pool")+COUNTIFS('Activities'!$B$2:$B$98,A6,'Activities'!$E$2:$E$98,"Camping / Outdoor")+COUNTIFS('Activities'!$B$2:$B$98,A6,'Activities'!$E$2:$E$98,"Event / Festival")</x:f>
        <x:v>5</x:v>
      </x:c>
      <x:c r="J6" s="30" t="str">
        <x:v>Akkar is not one city; Exact Locality identifies Qoubaiyat, Menjez, Fnaideq, Arqa, Akkar Al-Atika, etc.</x:v>
      </x:c>
    </x:row>
  </x:sheetData>
  <x:pageMargins left="0.7" right="0.7" top="0.75" bottom="0.75" header="0.3" footer="0.3"/>
  <x:tableParts count="1">
    <x:tablePart xmlns:r="http://schemas.openxmlformats.org/officeDocument/2006/relationships" r:id="R85d388507db240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5" hidden="0" customWidth="1"/>
    <x:col min="4" max="4" width="35" hidden="0" customWidth="1"/>
    <x:col min="5" max="5" width="23" hidden="0" customWidth="1"/>
    <x:col min="6" max="6" width="47" hidden="0" customWidth="1"/>
    <x:col min="7" max="7" width="29" hidden="0" customWidth="1"/>
    <x:col min="8" max="8" width="21" hidden="0" customWidth="1"/>
    <x:col min="9" max="9" width="40" hidden="0" customWidth="1"/>
    <x:col min="10" max="10" width="19" hidden="0" customWidth="1"/>
    <x:col min="11" max="11" width="10" hidden="0" customWidth="1"/>
    <x:col min="12" max="12" width="10" hidden="0" customWidth="1"/>
    <x:col min="13" max="13" width="34" hidden="0" customWidth="1"/>
    <x:col min="14" max="14" width="12" hidden="0" customWidth="1"/>
    <x:col min="15" max="15" width="39" hidden="0" customWidth="1"/>
    <x:col min="16" max="16" width="54" hidden="0" customWidth="1"/>
    <x:col min="17" max="17" width="54" hidden="0" customWidth="1"/>
    <x:col min="18" max="18" width="60" hidden="0" customWidth="1"/>
    <x:col min="19" max="19" width="14" hidden="0" customWidth="1"/>
  </x:cols>
  <x:sheetData>
    <x:row r="1" ht="38" customHeight="1">
      <x:c r="A1" s="26" t="str">
        <x:v>ID</x:v>
      </x:c>
      <x:c r="B1" s="26" t="str">
        <x:v>Area</x:v>
      </x:c>
      <x:c r="C1" s="26" t="str">
        <x:v>Exact Locality</x:v>
      </x:c>
      <x:c r="D1" s="26" t="str">
        <x:v>Activity / Place</x:v>
      </x:c>
      <x:c r="E1" s="26" t="str">
        <x:v>Category</x:v>
      </x:c>
      <x:c r="F1" s="26" t="str">
        <x:v>What You Can Do</x:v>
      </x:c>
      <x:c r="G1" s="26" t="str">
        <x:v>Status</x:v>
      </x:c>
      <x:c r="H1" s="26" t="str">
        <x:v>Status Group</x:v>
      </x:c>
      <x:c r="I1" s="26" t="str">
        <x:v>Address / Area</x:v>
      </x:c>
      <x:c r="J1" s="26" t="str">
        <x:v>Phone</x:v>
      </x:c>
      <x:c r="K1" s="26" t="str">
        <x:v>Rating</x:v>
      </x:c>
      <x:c r="L1" s="26" t="str">
        <x:v>Reviews</x:v>
      </x:c>
      <x:c r="M1" s="26" t="str">
        <x:v>Hours / Seasonality</x:v>
      </x:c>
      <x:c r="N1" s="26" t="str">
        <x:v>Confidence</x:v>
      </x:c>
      <x:c r="O1" s="26" t="str">
        <x:v>Evidence Source</x:v>
      </x:c>
      <x:c r="P1" s="26" t="str">
        <x:v>Source URL</x:v>
      </x:c>
      <x:c r="Q1" s="26" t="str">
        <x:v>Map / Search Link</x:v>
      </x:c>
      <x:c r="R1" s="26" t="str">
        <x:v>Notes</x:v>
      </x:c>
      <x:c r="S1" s="26" t="str">
        <x:v>Last Checked</x:v>
      </x:c>
    </x:row>
    <x:row r="2">
      <x:c r="A2" s="30" t="n">
        <x:v>1</x:v>
      </x:c>
      <x:c r="B2" s="30" t="str">
        <x:v>Batroun</x:v>
      </x:c>
      <x:c r="C2" s="30" t="str">
        <x:v>Batroun city</x:v>
      </x:c>
      <x:c r="D2" s="30" t="str">
        <x:v>Phoenician Wall - Batroun</x:v>
      </x:c>
      <x:c r="E2" s="30" t="str">
        <x:v>Heritage / Culture</x:v>
      </x:c>
      <x:c r="F2" s="30" t="str">
        <x:v>Walk the ancient sea wall, coastal sightseeing, photography</x:v>
      </x:c>
      <x:c r="G2" s="30" t="str">
        <x:v>Active - verified</x:v>
      </x:c>
      <x:c r="H2" s="30" t="str">
        <x:v>Current / Active</x:v>
      </x:c>
      <x:c r="I2" s="30" t="str">
        <x:v>Batroun</x:v>
      </x:c>
      <x:c r="J2" s="30" t="str"/>
      <x:c r="K2" s="32" t="n">
        <x:v>4.8</x:v>
      </x:c>
      <x:c r="L2" s="34" t="n">
        <x:v>86</x:v>
      </x:c>
      <x:c r="M2" s="30" t="str">
        <x:v>Open 24 hours</x:v>
      </x:c>
      <x:c r="N2" s="30" t="str">
        <x:v>High</x:v>
      </x:c>
      <x:c r="O2" s="30" t="str">
        <x:v>Current local-business listing + UNESCO historic-center context</x:v>
      </x:c>
      <x:c r="P2" s="30" t="str">
        <x:v>https://whc.unesco.org/en/tentativelists/6428/</x:v>
      </x:c>
      <x:c r="Q2" s="30" t="str">
        <x:v>https://www.google.com/maps/search/?api=1&amp;query=Phoenician+Wall+-+Batroun%2C+Batroun+city%2C+Lebanon</x:v>
      </x:c>
      <x:c r="R2" s="30" t="str"/>
      <x:c r="S2" s="30" t="str">
        <x:v>2026-09-08</x:v>
      </x:c>
    </x:row>
    <x:row r="3">
      <x:c r="A3" s="30" t="n">
        <x:v>2</x:v>
      </x:c>
      <x:c r="B3" s="30" t="str">
        <x:v>Batroun</x:v>
      </x:c>
      <x:c r="C3" s="30" t="str">
        <x:v>Batroun city</x:v>
      </x:c>
      <x:c r="D3" s="30" t="str">
        <x:v>Batroun Old Souk</x:v>
      </x:c>
      <x:c r="E3" s="30" t="str">
        <x:v>Heritage / Culture</x:v>
      </x:c>
      <x:c r="F3" s="30" t="str">
        <x:v>Walk the old stone souk, shopping, architecture, evening stroll</x:v>
      </x:c>
      <x:c r="G3" s="30" t="str">
        <x:v>Active - verified</x:v>
      </x:c>
      <x:c r="H3" s="30" t="str">
        <x:v>Current / Active</x:v>
      </x:c>
      <x:c r="I3" s="30" t="str">
        <x:v>Old Souk, Batroun</x:v>
      </x:c>
      <x:c r="J3" s="30" t="str">
        <x:v>+961 76 477 213</x:v>
      </x:c>
      <x:c r="K3" s="32" t="n">
        <x:v>4.7</x:v>
      </x:c>
      <x:c r="L3" s="34" t="n">
        <x:v>2745</x:v>
      </x:c>
      <x:c r="M3" s="30" t="str">
        <x:v>09:00-00:00 daily</x:v>
      </x:c>
      <x:c r="N3" s="30" t="str">
        <x:v>High</x:v>
      </x:c>
      <x:c r="O3" s="30" t="str">
        <x:v>Current local-business listing</x:v>
      </x:c>
      <x:c r="P3" s="30" t="str">
        <x:v>https://www.google.com/maps/search/?api=1&amp;query=Batroun+Old+Souk%2C+Batroun%2C+Lebanon</x:v>
      </x:c>
      <x:c r="Q3" s="30" t="str">
        <x:v>https://www.google.com/maps/search/?api=1&amp;query=Batroun+Old+Souk%2C+Batroun+city%2C+Lebanon</x:v>
      </x:c>
      <x:c r="R3" s="30" t="str"/>
      <x:c r="S3" s="30" t="str">
        <x:v>2026-09-08</x:v>
      </x:c>
    </x:row>
    <x:row r="4">
      <x:c r="A4" s="30" t="n">
        <x:v>3</x:v>
      </x:c>
      <x:c r="B4" s="30" t="str">
        <x:v>Batroun</x:v>
      </x:c>
      <x:c r="C4" s="30" t="str">
        <x:v>Batroun city</x:v>
      </x:c>
      <x:c r="D4" s="30" t="str">
        <x:v>St. Stephen Cathedral</x:v>
      </x:c>
      <x:c r="E4" s="30" t="str">
        <x:v>Heritage / Religious</x:v>
      </x:c>
      <x:c r="F4" s="30" t="str">
        <x:v>Visit the cathedral, architecture, photography</x:v>
      </x:c>
      <x:c r="G4" s="30" t="str">
        <x:v>Active - verified</x:v>
      </x:c>
      <x:c r="H4" s="30" t="str">
        <x:v>Current / Active</x:v>
      </x:c>
      <x:c r="I4" s="30" t="str">
        <x:v>7M45+RFX, Batroun</x:v>
      </x:c>
      <x:c r="J4" s="30" t="str"/>
      <x:c r="K4" s="32" t="n">
        <x:v>4.8</x:v>
      </x:c>
      <x:c r="L4" s="34" t="n">
        <x:v>313</x:v>
      </x:c>
      <x:c r="M4" s="30" t="str">
        <x:v>Daytime; hours vary by day</x:v>
      </x:c>
      <x:c r="N4" s="30" t="str">
        <x:v>High</x:v>
      </x:c>
      <x:c r="O4" s="30" t="str">
        <x:v>Current local-business listing</x:v>
      </x:c>
      <x:c r="P4" s="30" t="str">
        <x:v>https://www.google.com/maps/search/?api=1&amp;query=St.+Stephen+Cathedral%2C+Batroun%2C+Lebanon</x:v>
      </x:c>
      <x:c r="Q4" s="30" t="str">
        <x:v>https://www.google.com/maps/search/?api=1&amp;query=St.+Stephen+Cathedral%2C+Batroun+city%2C+Lebanon</x:v>
      </x:c>
      <x:c r="R4" s="30" t="str"/>
      <x:c r="S4" s="30" t="str">
        <x:v>2026-09-08</x:v>
      </x:c>
    </x:row>
    <x:row r="5">
      <x:c r="A5" s="30" t="n">
        <x:v>4</x:v>
      </x:c>
      <x:c r="B5" s="30" t="str">
        <x:v>Batroun</x:v>
      </x:c>
      <x:c r="C5" s="30" t="str">
        <x:v>Batroun city</x:v>
      </x:c>
      <x:c r="D5" s="30" t="str">
        <x:v>Church of Our Lady of the Sea</x:v>
      </x:c>
      <x:c r="E5" s="30" t="str">
        <x:v>Heritage / Religious</x:v>
      </x:c>
      <x:c r="F5" s="30" t="str">
        <x:v>Visit seaside church, sunset and coastal views</x:v>
      </x:c>
      <x:c r="G5" s="30" t="str">
        <x:v>Active - verified</x:v>
      </x:c>
      <x:c r="H5" s="30" t="str">
        <x:v>Current / Active</x:v>
      </x:c>
      <x:c r="I5" s="30" t="str">
        <x:v>7M34+WC4, Batroun</x:v>
      </x:c>
      <x:c r="J5" s="30" t="str"/>
      <x:c r="K5" s="32" t="n">
        <x:v>4.9</x:v>
      </x:c>
      <x:c r="L5" s="34" t="n">
        <x:v>90</x:v>
      </x:c>
      <x:c r="M5" s="30" t="str"/>
      <x:c r="N5" s="30" t="str">
        <x:v>High</x:v>
      </x:c>
      <x:c r="O5" s="30" t="str">
        <x:v>Current local-business listing</x:v>
      </x:c>
      <x:c r="P5" s="30" t="str">
        <x:v>https://www.google.com/maps/search/?api=1&amp;query=Church+of+Our+Lady+of+the+Sea%2C+Batroun%2C+Lebanon</x:v>
      </x:c>
      <x:c r="Q5" s="30" t="str">
        <x:v>https://www.google.com/maps/search/?api=1&amp;query=Church+of+Our+Lady+of+the+Sea%2C+Batroun+city%2C+Lebanon</x:v>
      </x:c>
      <x:c r="R5" s="30" t="str"/>
      <x:c r="S5" s="30" t="str">
        <x:v>2026-09-08</x:v>
      </x:c>
    </x:row>
    <x:row r="6">
      <x:c r="A6" s="30" t="n">
        <x:v>5</x:v>
      </x:c>
      <x:c r="B6" s="30" t="str">
        <x:v>Batroun</x:v>
      </x:c>
      <x:c r="C6" s="30" t="str">
        <x:v>Batroun city</x:v>
      </x:c>
      <x:c r="D6" s="30" t="str">
        <x:v>Joining Beach</x:v>
      </x:c>
      <x:c r="E6" s="30" t="str">
        <x:v>Beach / Water</x:v>
      </x:c>
      <x:c r="F6" s="30" t="str">
        <x:v>Swim, sunbathe and enjoy the coast</x:v>
      </x:c>
      <x:c r="G6" s="30" t="str">
        <x:v>Active - verified</x:v>
      </x:c>
      <x:c r="H6" s="30" t="str">
        <x:v>Current / Active</x:v>
      </x:c>
      <x:c r="I6" s="30" t="str">
        <x:v>Batroun coast</x:v>
      </x:c>
      <x:c r="J6" s="30" t="str">
        <x:v>+961 3 517 492</x:v>
      </x:c>
      <x:c r="K6" s="32" t="n">
        <x:v>4.2</x:v>
      </x:c>
      <x:c r="L6" s="34" t="n">
        <x:v>348</x:v>
      </x:c>
      <x:c r="M6" s="30" t="str"/>
      <x:c r="N6" s="30" t="str">
        <x:v>High</x:v>
      </x:c>
      <x:c r="O6" s="30" t="str">
        <x:v>Current local-business listing + current Batroun travel guide</x:v>
      </x:c>
      <x:c r="P6" s="30" t="str">
        <x:v>https://onmetravel.com/things-to-do-in-batroun-lebanon</x:v>
      </x:c>
      <x:c r="Q6" s="30" t="str">
        <x:v>https://www.google.com/maps/search/?api=1&amp;query=Joining+Beach%2C+Batroun+city%2C+Lebanon</x:v>
      </x:c>
      <x:c r="R6" s="30" t="str"/>
      <x:c r="S6" s="30" t="str">
        <x:v>2026-09-08</x:v>
      </x:c>
    </x:row>
    <x:row r="7">
      <x:c r="A7" s="30" t="n">
        <x:v>6</x:v>
      </x:c>
      <x:c r="B7" s="30" t="str">
        <x:v>Batroun</x:v>
      </x:c>
      <x:c r="C7" s="30" t="str">
        <x:v>Batroun city</x:v>
      </x:c>
      <x:c r="D7" s="30" t="str">
        <x:v>Colonel Reef Beach</x:v>
      </x:c>
      <x:c r="E7" s="30" t="str">
        <x:v>Beach / Water</x:v>
      </x:c>
      <x:c r="F7" s="30" t="str">
        <x:v>Beach-club and seaside activities</x:v>
      </x:c>
      <x:c r="G7" s="30" t="str">
        <x:v>Status conflict / rebuilding</x:v>
      </x:c>
      <x:c r="H7" s="30" t="str">
        <x:v>Closed / Conflict</x:v>
      </x:c>
      <x:c r="I7" s="30" t="str">
        <x:v>Bayader Street, next to Aqualand Resort, Batroun</x:v>
      </x:c>
      <x:c r="J7" s="30" t="str">
        <x:v>+961 3 743 543</x:v>
      </x:c>
      <x:c r="K7" s="32" t="n">
        <x:v>4.2</x:v>
      </x:c>
      <x:c r="L7" s="34" t="n">
        <x:v>258</x:v>
      </x:c>
      <x:c r="M7" s="30" t="str"/>
      <x:c r="N7" s="30" t="str">
        <x:v>Medium</x:v>
      </x:c>
      <x:c r="O7" s="30" t="str">
        <x:v>Current local-business result + 2026 fire reporting</x:v>
      </x:c>
      <x:c r="P7" s="30" t="str">
        <x:v>https://www.beirut.com/en/770730/colonel-reef-reduced-to-ashes-after-major-fire-in-batroun/</x:v>
      </x:c>
      <x:c r="Q7" s="30" t="str">
        <x:v>https://www.google.com/maps/search/?api=1&amp;query=Colonel+Reef+Beach%2C+Batroun+city%2C+Lebanon</x:v>
      </x:c>
      <x:c r="R7" s="30" t="str">
        <x:v>A major fire destroyed the wooden seaside venue in February 2026. Verify reopening/rebuilding before visiting.</x:v>
      </x:c>
      <x:c r="S7" s="30" t="str">
        <x:v>2026-09-08</x:v>
      </x:c>
    </x:row>
    <x:row r="8">
      <x:c r="A8" s="30" t="n">
        <x:v>7</x:v>
      </x:c>
      <x:c r="B8" s="30" t="str">
        <x:v>Batroun</x:v>
      </x:c>
      <x:c r="C8" s="30" t="str">
        <x:v>Batroun city</x:v>
      </x:c>
      <x:c r="D8" s="30" t="str">
        <x:v>Batroun Water Sports</x:v>
      </x:c>
      <x:c r="E8" s="30" t="str">
        <x:v>Sports / Adventure</x:v>
      </x:c>
      <x:c r="F8" s="30" t="str">
        <x:v>Surfing, windsurfing, stand-up paddle, kitesurfing and courses</x:v>
      </x:c>
      <x:c r="G8" s="30" t="str">
        <x:v>Active - verified</x:v>
      </x:c>
      <x:c r="H8" s="30" t="str">
        <x:v>Current / Active</x:v>
      </x:c>
      <x:c r="I8" s="30" t="str">
        <x:v>Dawra, Batroun</x:v>
      </x:c>
      <x:c r="J8" s="30" t="str">
        <x:v>+961 3 156 402</x:v>
      </x:c>
      <x:c r="K8" s="32" t="n">
        <x:v>4.9</x:v>
      </x:c>
      <x:c r="L8" s="34" t="n">
        <x:v>55</x:v>
      </x:c>
      <x:c r="M8" s="30" t="str">
        <x:v>06:30-13:00 daily on current listing</x:v>
      </x:c>
      <x:c r="N8" s="30" t="str">
        <x:v>High</x:v>
      </x:c>
      <x:c r="O8" s="30" t="str">
        <x:v>Official Batroun Water Sports website + current local listing</x:v>
      </x:c>
      <x:c r="P8" s="30" t="str">
        <x:v>https://batrounwatersports.com/</x:v>
      </x:c>
      <x:c r="Q8" s="30" t="str">
        <x:v>https://www.google.com/maps/search/?api=1&amp;query=Batroun+Water+Sports%2C+Batroun+city%2C+Lebanon</x:v>
      </x:c>
      <x:c r="R8" s="30" t="str"/>
      <x:c r="S8" s="30" t="str">
        <x:v>2026-09-08</x:v>
      </x:c>
    </x:row>
    <x:row r="9">
      <x:c r="A9" s="30" t="n">
        <x:v>8</x:v>
      </x:c>
      <x:c r="B9" s="30" t="str">
        <x:v>Batroun</x:v>
      </x:c>
      <x:c r="C9" s="30" t="str">
        <x:v>Batroun city</x:v>
      </x:c>
      <x:c r="D9" s="30" t="str">
        <x:v>Routes Bike Rental Batroun</x:v>
      </x:c>
      <x:c r="E9" s="30" t="str">
        <x:v>Sports / Adventure</x:v>
      </x:c>
      <x:c r="F9" s="30" t="str">
        <x:v>Bike rental, cycling, SUP, kayak, hiking, tours and trips</x:v>
      </x:c>
      <x:c r="G9" s="30" t="str">
        <x:v>Active - verified</x:v>
      </x:c>
      <x:c r="H9" s="30" t="str">
        <x:v>Current / Active</x:v>
      </x:c>
      <x:c r="I9" s="30" t="str">
        <x:v>6MX6+M6, Batroun</x:v>
      </x:c>
      <x:c r="J9" s="30" t="str">
        <x:v>+961 76 338 762</x:v>
      </x:c>
      <x:c r="K9" s="32" t="n">
        <x:v>4.7</x:v>
      </x:c>
      <x:c r="L9" s="34" t="n">
        <x:v>94</x:v>
      </x:c>
      <x:c r="M9" s="30" t="str"/>
      <x:c r="N9" s="30" t="str">
        <x:v>High</x:v>
      </x:c>
      <x:c r="O9" s="30" t="str">
        <x:v>Go Batroun listing + current local-business listing</x:v>
      </x:c>
      <x:c r="P9" s="30" t="str">
        <x:v>https://gobatroun.com/location/routes-bike-rental/</x:v>
      </x:c>
      <x:c r="Q9" s="30" t="str">
        <x:v>https://www.google.com/maps/search/?api=1&amp;query=Routes+Bike+Rental+Batroun%2C+Batroun+city%2C+Lebanon</x:v>
      </x:c>
      <x:c r="R9" s="30" t="str"/>
      <x:c r="S9" s="30" t="str">
        <x:v>2026-09-08</x:v>
      </x:c>
    </x:row>
    <x:row r="10">
      <x:c r="A10" s="30" t="n">
        <x:v>9</x:v>
      </x:c>
      <x:c r="B10" s="30" t="str">
        <x:v>Batroun</x:v>
      </x:c>
      <x:c r="C10" s="30" t="str">
        <x:v>Batroun city</x:v>
      </x:c>
      <x:c r="D10" s="30" t="str">
        <x:v>Stars and Stories</x:v>
      </x:c>
      <x:c r="E10" s="30" t="str">
        <x:v>Family / Play</x:v>
      </x:c>
      <x:c r="F10" s="30" t="str">
        <x:v>Children's playground and family play</x:v>
      </x:c>
      <x:c r="G10" s="30" t="str">
        <x:v>Active - verified</x:v>
      </x:c>
      <x:c r="H10" s="30" t="str">
        <x:v>Current / Active</x:v>
      </x:c>
      <x:c r="I10" s="30" t="str">
        <x:v>Batroun</x:v>
      </x:c>
      <x:c r="J10" s="30" t="str">
        <x:v>+961 70 997 755</x:v>
      </x:c>
      <x:c r="K10" s="32" t="n">
        <x:v>4.4</x:v>
      </x:c>
      <x:c r="L10" s="34" t="n">
        <x:v>30</x:v>
      </x:c>
      <x:c r="M10" s="30" t="str">
        <x:v>09:00-00:00 daily</x:v>
      </x:c>
      <x:c r="N10" s="30" t="str">
        <x:v>High</x:v>
      </x:c>
      <x:c r="O10" s="30" t="str">
        <x:v>Current local-business listing</x:v>
      </x:c>
      <x:c r="P10" s="30" t="str">
        <x:v>https://www.google.com/maps/search/?api=1&amp;query=Stars+and+Stories%2C+Batroun%2C+Lebanon</x:v>
      </x:c>
      <x:c r="Q10" s="30" t="str">
        <x:v>https://www.google.com/maps/search/?api=1&amp;query=Stars+and+Stories%2C+Batroun+city%2C+Lebanon</x:v>
      </x:c>
      <x:c r="R10" s="30" t="str"/>
      <x:c r="S10" s="30" t="str">
        <x:v>2026-09-08</x:v>
      </x:c>
    </x:row>
    <x:row r="11">
      <x:c r="A11" s="30" t="n">
        <x:v>10</x:v>
      </x:c>
      <x:c r="B11" s="30" t="str">
        <x:v>Batroun</x:v>
      </x:c>
      <x:c r="C11" s="30" t="str">
        <x:v>Batroun city</x:v>
      </x:c>
      <x:c r="D11" s="30" t="str">
        <x:v>Batroun-JCM</x:v>
      </x:c>
      <x:c r="E11" s="30" t="str">
        <x:v>Museum / Education</x:v>
      </x:c>
      <x:c r="F11" s="30" t="str">
        <x:v>Museum visit and cultural discovery</x:v>
      </x:c>
      <x:c r="G11" s="30" t="str">
        <x:v>Active - verified</x:v>
      </x:c>
      <x:c r="H11" s="30" t="str">
        <x:v>Current / Active</x:v>
      </x:c>
      <x:c r="I11" s="30" t="str">
        <x:v>7M45+MM3, Batroun</x:v>
      </x:c>
      <x:c r="J11" s="30" t="str">
        <x:v>+961 71 118 868</x:v>
      </x:c>
      <x:c r="K11" s="32" t="n">
        <x:v>5</x:v>
      </x:c>
      <x:c r="L11" s="34" t="n">
        <x:v>1</x:v>
      </x:c>
      <x:c r="M11" s="30" t="str">
        <x:v>10:00-18:00 daily</x:v>
      </x:c>
      <x:c r="N11" s="30" t="str">
        <x:v>High</x:v>
      </x:c>
      <x:c r="O11" s="30" t="str">
        <x:v>Current local-business listing</x:v>
      </x:c>
      <x:c r="P11" s="30" t="str">
        <x:v>https://www.google.com/maps/search/?api=1&amp;query=Batroun-JCM%2C+Batroun%2C+Lebanon</x:v>
      </x:c>
      <x:c r="Q11" s="30" t="str">
        <x:v>https://www.google.com/maps/search/?api=1&amp;query=Batroun-JCM%2C+Batroun+city%2C+Lebanon</x:v>
      </x:c>
      <x:c r="R11" s="30" t="str"/>
      <x:c r="S11" s="30" t="str">
        <x:v>2026-09-08</x:v>
      </x:c>
    </x:row>
    <x:row r="12">
      <x:c r="A12" s="30" t="n">
        <x:v>11</x:v>
      </x:c>
      <x:c r="B12" s="30" t="str">
        <x:v>Batroun</x:v>
      </x:c>
      <x:c r="C12" s="30" t="str">
        <x:v>Batroun city</x:v>
      </x:c>
      <x:c r="D12" s="30" t="str">
        <x:v>Russian-Lebanese Cultural House</x:v>
      </x:c>
      <x:c r="E12" s="30" t="str">
        <x:v>Museum / Culture</x:v>
      </x:c>
      <x:c r="F12" s="30" t="str">
        <x:v>Cultural exhibitions and museum visit</x:v>
      </x:c>
      <x:c r="G12" s="30" t="str">
        <x:v>Active - verified</x:v>
      </x:c>
      <x:c r="H12" s="30" t="str">
        <x:v>Current / Active</x:v>
      </x:c>
      <x:c r="I12" s="30" t="str">
        <x:v>7M44+6WX, Batroun</x:v>
      </x:c>
      <x:c r="J12" s="30" t="str"/>
      <x:c r="K12" s="32" t="n">
        <x:v>4.7</x:v>
      </x:c>
      <x:c r="L12" s="34" t="n">
        <x:v>18</x:v>
      </x:c>
      <x:c r="M12" s="30" t="str"/>
      <x:c r="N12" s="30" t="str">
        <x:v>High</x:v>
      </x:c>
      <x:c r="O12" s="30" t="str">
        <x:v>Current local-business listing</x:v>
      </x:c>
      <x:c r="P12" s="30" t="str">
        <x:v>https://www.google.com/maps/search/?api=1&amp;query=Russian-Lebanese+Cultural+House%2C+Batroun%2C+Lebanon</x:v>
      </x:c>
      <x:c r="Q12" s="30" t="str">
        <x:v>https://www.google.com/maps/search/?api=1&amp;query=Russian-Lebanese+Cultural+House%2C+Batroun+city%2C+Lebanon</x:v>
      </x:c>
      <x:c r="R12" s="30" t="str"/>
      <x:c r="S12" s="30" t="str">
        <x:v>2026-09-08</x:v>
      </x:c>
    </x:row>
    <x:row r="13">
      <x:c r="A13" s="30" t="n">
        <x:v>12</x:v>
      </x:c>
      <x:c r="B13" s="30" t="str">
        <x:v>Batroun</x:v>
      </x:c>
      <x:c r="C13" s="30" t="str">
        <x:v>Batroun city</x:v>
      </x:c>
      <x:c r="D13" s="30" t="str">
        <x:v>Lebanese Diaspora Village</x:v>
      </x:c>
      <x:c r="E13" s="30" t="str">
        <x:v>Museum / Culture</x:v>
      </x:c>
      <x:c r="F13" s="30" t="str">
        <x:v>Migration/diaspora museum, library, cultural events and exhibitions</x:v>
      </x:c>
      <x:c r="G13" s="30" t="str">
        <x:v>Active - verified</x:v>
      </x:c>
      <x:c r="H13" s="30" t="str">
        <x:v>Current / Active</x:v>
      </x:c>
      <x:c r="I13" s="30" t="str">
        <x:v>7M44+5WG, Batroun</x:v>
      </x:c>
      <x:c r="J13" s="30" t="str">
        <x:v>+961 3 634 631</x:v>
      </x:c>
      <x:c r="K13" s="32" t="n">
        <x:v>4.5</x:v>
      </x:c>
      <x:c r="L13" s="34" t="n">
        <x:v>136</x:v>
      </x:c>
      <x:c r="M13" s="30" t="str"/>
      <x:c r="N13" s="30" t="str">
        <x:v>High</x:v>
      </x:c>
      <x:c r="O13" s="30" t="str">
        <x:v>Official Diaspora Village site + current local-business listing</x:v>
      </x:c>
      <x:c r="P13" s="30" t="str">
        <x:v>https://www.lebanesediasporavillage.com/index.php</x:v>
      </x:c>
      <x:c r="Q13" s="30" t="str">
        <x:v>https://www.google.com/maps/search/?api=1&amp;query=Lebanese+Diaspora+Village%2C+Batroun+city%2C+Lebanon</x:v>
      </x:c>
      <x:c r="R13" s="30" t="str"/>
      <x:c r="S13" s="30" t="str">
        <x:v>2026-09-08</x:v>
      </x:c>
    </x:row>
    <x:row r="14">
      <x:c r="A14" s="30" t="n">
        <x:v>13</x:v>
      </x:c>
      <x:c r="B14" s="30" t="str">
        <x:v>Batroun</x:v>
      </x:c>
      <x:c r="C14" s="30" t="str">
        <x:v>Batroun city</x:v>
      </x:c>
      <x:c r="D14" s="30" t="str">
        <x:v>Batroun Historic Center Walk</x:v>
      </x:c>
      <x:c r="E14" s="30" t="str">
        <x:v>Heritage / Culture</x:v>
      </x:c>
      <x:c r="F14" s="30" t="str">
        <x:v>Self-guided walk through the historic center, alleys, churches and waterfront</x:v>
      </x:c>
      <x:c r="G14" s="30" t="str">
        <x:v>Timeless / verify access</x:v>
      </x:c>
      <x:c r="H14" s="30" t="str">
        <x:v>Seasonal / Verify</x:v>
      </x:c>
      <x:c r="I14" s="30" t="str">
        <x:v>Historic Batroun</x:v>
      </x:c>
      <x:c r="J14" s="30" t="str"/>
      <x:c r="K14" s="32"/>
      <x:c r="L14" s="34"/>
      <x:c r="M14" s="30" t="str"/>
      <x:c r="N14" s="30" t="str">
        <x:v>High</x:v>
      </x:c>
      <x:c r="O14" s="30" t="str">
        <x:v>UNESCO Tentative List — Historic Center of Batroun</x:v>
      </x:c>
      <x:c r="P14" s="30" t="str">
        <x:v>https://whc.unesco.org/en/tentativelists/6428/</x:v>
      </x:c>
      <x:c r="Q14" s="30" t="str">
        <x:v>https://www.google.com/maps/search/?api=1&amp;query=Batroun+Historic+Center+Walk%2C+Batroun+city%2C+Lebanon</x:v>
      </x:c>
      <x:c r="R14" s="30" t="str"/>
      <x:c r="S14" s="30" t="str">
        <x:v>2026-09-08</x:v>
      </x:c>
    </x:row>
    <x:row r="15">
      <x:c r="A15" s="30" t="n">
        <x:v>14</x:v>
      </x:c>
      <x:c r="B15" s="30" t="str">
        <x:v>Batroun</x:v>
      </x:c>
      <x:c r="C15" s="30" t="str">
        <x:v>Batroun city</x:v>
      </x:c>
      <x:c r="D15" s="30" t="str">
        <x:v>Batroun Harbor / Fishing Port</x:v>
      </x:c>
      <x:c r="E15" s="30" t="str">
        <x:v>Scenic / Public Space</x:v>
      </x:c>
      <x:c r="F15" s="30" t="str">
        <x:v>Harbor walk, fishing boats, sea views and photography</x:v>
      </x:c>
      <x:c r="G15" s="30" t="str">
        <x:v>Active public space</x:v>
      </x:c>
      <x:c r="H15" s="30" t="str">
        <x:v>Current / Active</x:v>
      </x:c>
      <x:c r="I15" s="30" t="str">
        <x:v>Batroun waterfront</x:v>
      </x:c>
      <x:c r="J15" s="30" t="str"/>
      <x:c r="K15" s="32"/>
      <x:c r="L15" s="34"/>
      <x:c r="M15" s="30" t="str"/>
      <x:c r="N15" s="30" t="str">
        <x:v>Medium</x:v>
      </x:c>
      <x:c r="O15" s="30" t="str">
        <x:v>Current Batroun travel guide</x:v>
      </x:c>
      <x:c r="P15" s="30" t="str">
        <x:v>https://insidebeirut.com/article/day-in-batroun</x:v>
      </x:c>
      <x:c r="Q15" s="30" t="str">
        <x:v>https://www.google.com/maps/search/?api=1&amp;query=Batroun+Harbor+%2F+Fishing+Port%2C+Batroun+city%2C+Lebanon</x:v>
      </x:c>
      <x:c r="R15" s="30" t="str"/>
      <x:c r="S15" s="30" t="str">
        <x:v>2026-09-08</x:v>
      </x:c>
    </x:row>
    <x:row r="16">
      <x:c r="A16" s="30" t="n">
        <x:v>15</x:v>
      </x:c>
      <x:c r="B16" s="30" t="str">
        <x:v>Batroun</x:v>
      </x:c>
      <x:c r="C16" s="30" t="str">
        <x:v>Hamat / Batroun area</x:v>
      </x:c>
      <x:c r="D16" s="30" t="str">
        <x:v>Mseilha Fort</x:v>
      </x:c>
      <x:c r="E16" s="30" t="str">
        <x:v>Heritage / Culture</x:v>
      </x:c>
      <x:c r="F16" s="30" t="str">
        <x:v>Castle visit, history, photography and views</x:v>
      </x:c>
      <x:c r="G16" s="30" t="str">
        <x:v>Active - verified</x:v>
      </x:c>
      <x:c r="H16" s="30" t="str">
        <x:v>Current / Active</x:v>
      </x:c>
      <x:c r="I16" s="30" t="str">
        <x:v>7MFQ+FW6, Hamat</x:v>
      </x:c>
      <x:c r="J16" s="30" t="str"/>
      <x:c r="K16" s="32" t="n">
        <x:v>4.4</x:v>
      </x:c>
      <x:c r="L16" s="34" t="n">
        <x:v>677</x:v>
      </x:c>
      <x:c r="M16" s="30" t="str">
        <x:v>08:00-16:00 daily</x:v>
      </x:c>
      <x:c r="N16" s="30" t="str">
        <x:v>High</x:v>
      </x:c>
      <x:c r="O16" s="30" t="str">
        <x:v>Current local-business listing + tourism reference</x:v>
      </x:c>
      <x:c r="P16" s="30" t="str">
        <x:v>https://lebanonuntravelled.com/batroun-fort/</x:v>
      </x:c>
      <x:c r="Q16" s="30" t="str">
        <x:v>https://www.google.com/maps/search/?api=1&amp;query=Mseilha+Fort%2C+Hamat+%2F+Batroun+area%2C+Lebanon</x:v>
      </x:c>
      <x:c r="R16" s="30" t="str">
        <x:v>Located north of Batroun city in Hamat; retained as a Batroun-area activity.</x:v>
      </x:c>
      <x:c r="S16" s="30" t="str">
        <x:v>2026-09-08</x:v>
      </x:c>
    </x:row>
    <x:row r="17">
      <x:c r="A17" s="30" t="n">
        <x:v>16</x:v>
      </x:c>
      <x:c r="B17" s="30" t="str">
        <x:v>Batroun</x:v>
      </x:c>
      <x:c r="C17" s="30" t="str">
        <x:v>Batroun area</x:v>
      </x:c>
      <x:c r="D17" s="30" t="str">
        <x:v>Mseilha Walkway</x:v>
      </x:c>
      <x:c r="E17" s="30" t="str">
        <x:v>Nature / Hiking</x:v>
      </x:c>
      <x:c r="F17" s="30" t="str">
        <x:v>Walk/hike near Nahr el-Jawz and Mseilha Fort</x:v>
      </x:c>
      <x:c r="G17" s="30" t="str">
        <x:v>Active - verified</x:v>
      </x:c>
      <x:c r="H17" s="30" t="str">
        <x:v>Current / Active</x:v>
      </x:c>
      <x:c r="I17" s="30" t="str">
        <x:v>Batroun area</x:v>
      </x:c>
      <x:c r="J17" s="30" t="str"/>
      <x:c r="K17" s="32" t="n">
        <x:v>4.6</x:v>
      </x:c>
      <x:c r="L17" s="34" t="n">
        <x:v>198</x:v>
      </x:c>
      <x:c r="M17" s="30" t="str">
        <x:v>07:00-18:00 daily</x:v>
      </x:c>
      <x:c r="N17" s="30" t="str">
        <x:v>High</x:v>
      </x:c>
      <x:c r="O17" s="30" t="str">
        <x:v>Current local-business listing</x:v>
      </x:c>
      <x:c r="P17" s="30" t="str">
        <x:v>https://www.google.com/maps/search/?api=1&amp;query=Mseilha+Walkway%2C+Batroun%2C+Lebanon</x:v>
      </x:c>
      <x:c r="Q17" s="30" t="str">
        <x:v>https://www.google.com/maps/search/?api=1&amp;query=Mseilha+Walkway%2C+Batroun+area%2C+Lebanon</x:v>
      </x:c>
      <x:c r="R17" s="30" t="str"/>
      <x:c r="S17" s="30" t="str">
        <x:v>2026-09-08</x:v>
      </x:c>
    </x:row>
    <x:row r="18">
      <x:c r="A18" s="30" t="n">
        <x:v>17</x:v>
      </x:c>
      <x:c r="B18" s="30" t="str">
        <x:v>Batroun</x:v>
      </x:c>
      <x:c r="C18" s="30" t="str">
        <x:v>El Heri / Batroun district</x:v>
      </x:c>
      <x:c r="D18" s="30" t="str">
        <x:v>Nabu Museum</x:v>
      </x:c>
      <x:c r="E18" s="30" t="str">
        <x:v>Museum / Culture</x:v>
      </x:c>
      <x:c r="F18" s="30" t="str">
        <x:v>Archaeology and art museum visit</x:v>
      </x:c>
      <x:c r="G18" s="30" t="str">
        <x:v>Active - verified</x:v>
      </x:c>
      <x:c r="H18" s="30" t="str">
        <x:v>Current / Active</x:v>
      </x:c>
      <x:c r="I18" s="30" t="str">
        <x:v>Batroun El, Heri</x:v>
      </x:c>
      <x:c r="J18" s="30" t="str">
        <x:v>+961 2 654 1341</x:v>
      </x:c>
      <x:c r="K18" s="32" t="n">
        <x:v>4.6</x:v>
      </x:c>
      <x:c r="L18" s="34" t="n">
        <x:v>432</x:v>
      </x:c>
      <x:c r="M18" s="30" t="str">
        <x:v>Wed-Sun 10:00-19:00</x:v>
      </x:c>
      <x:c r="N18" s="30" t="str">
        <x:v>High</x:v>
      </x:c>
      <x:c r="O18" s="30" t="str">
        <x:v>Current local-business listing</x:v>
      </x:c>
      <x:c r="P18" s="30" t="str">
        <x:v>https://www.google.com/maps/search/?api=1&amp;query=Nabu+Museum%2C+El+Heri%2C+Lebanon</x:v>
      </x:c>
      <x:c r="Q18" s="30" t="str">
        <x:v>https://www.google.com/maps/search/?api=1&amp;query=Nabu+Museum%2C+El+Heri+%2F+Batroun+district%2C+Lebanon</x:v>
      </x:c>
      <x:c r="R18" s="30" t="str"/>
      <x:c r="S18" s="30" t="str">
        <x:v>2026-09-08</x:v>
      </x:c>
    </x:row>
    <x:row r="19">
      <x:c r="A19" s="30" t="n">
        <x:v>18</x:v>
      </x:c>
      <x:c r="B19" s="30" t="str">
        <x:v>Batroun</x:v>
      </x:c>
      <x:c r="C19" s="30" t="str">
        <x:v>Batroun area</x:v>
      </x:c>
      <x:c r="D19" s="30" t="str">
        <x:v>Batroun Mountains Organic Winery</x:v>
      </x:c>
      <x:c r="E19" s="30" t="str">
        <x:v>Food / Agritourism</x:v>
      </x:c>
      <x:c r="F19" s="30" t="str">
        <x:v>Winery visit and wine-related agritourism</x:v>
      </x:c>
      <x:c r="G19" s="30" t="str">
        <x:v>Active - verified</x:v>
      </x:c>
      <x:c r="H19" s="30" t="str">
        <x:v>Current / Active</x:v>
      </x:c>
      <x:c r="I19" s="30" t="str">
        <x:v>Rawabi Avenue, Batroun</x:v>
      </x:c>
      <x:c r="J19" s="30" t="str">
        <x:v>+961 79 364 779</x:v>
      </x:c>
      <x:c r="K19" s="32" t="n">
        <x:v>4.6</x:v>
      </x:c>
      <x:c r="L19" s="34" t="n">
        <x:v>26</x:v>
      </x:c>
      <x:c r="M19" s="30" t="str">
        <x:v>Weekday daytime; Saturday shorter</x:v>
      </x:c>
      <x:c r="N19" s="30" t="str">
        <x:v>High</x:v>
      </x:c>
      <x:c r="O19" s="30" t="str">
        <x:v>Current local-business listing</x:v>
      </x:c>
      <x:c r="P19" s="30" t="str">
        <x:v>https://www.google.com/maps/search/?api=1&amp;query=Batroun+Mountains+Organic+Winery%2C+Batroun%2C+Lebanon</x:v>
      </x:c>
      <x:c r="Q19" s="30" t="str">
        <x:v>https://www.google.com/maps/search/?api=1&amp;query=Batroun+Mountains+Organic+Winery%2C+Batroun+area%2C+Lebanon</x:v>
      </x:c>
      <x:c r="R19" s="30" t="str"/>
      <x:c r="S19" s="30" t="str">
        <x:v>2026-09-08</x:v>
      </x:c>
    </x:row>
    <x:row r="20">
      <x:c r="A20" s="30" t="n">
        <x:v>19</x:v>
      </x:c>
      <x:c r="B20" s="30" t="str">
        <x:v>Batroun</x:v>
      </x:c>
      <x:c r="C20" s="30" t="str">
        <x:v>Batroun city</x:v>
      </x:c>
      <x:c r="D20" s="30" t="str">
        <x:v>Aqualand Hotel and Resort</x:v>
      </x:c>
      <x:c r="E20" s="30" t="str">
        <x:v>Resort / Pool</x:v>
      </x:c>
      <x:c r="F20" s="30" t="str">
        <x:v>Pool and resort leisure</x:v>
      </x:c>
      <x:c r="G20" s="30" t="str">
        <x:v>Active listing</x:v>
      </x:c>
      <x:c r="H20" s="30" t="str">
        <x:v>Current / Active</x:v>
      </x:c>
      <x:c r="I20" s="30" t="str">
        <x:v>Sea Side Rd, Batroun</x:v>
      </x:c>
      <x:c r="J20" s="30" t="str">
        <x:v>+961 79 379 867</x:v>
      </x:c>
      <x:c r="K20" s="32" t="n">
        <x:v>3.6</x:v>
      </x:c>
      <x:c r="L20" s="34" t="n">
        <x:v>441</x:v>
      </x:c>
      <x:c r="M20" s="30" t="str"/>
      <x:c r="N20" s="30" t="str">
        <x:v>Medium</x:v>
      </x:c>
      <x:c r="O20" s="30" t="str">
        <x:v>Current local-business listing</x:v>
      </x:c>
      <x:c r="P20" s="30" t="str">
        <x:v>https://www.google.com/maps/search/?api=1&amp;query=Aqualand+Hotel+and+Resort%2C+Batroun%2C+Lebanon</x:v>
      </x:c>
      <x:c r="Q20" s="30" t="str">
        <x:v>https://www.google.com/maps/search/?api=1&amp;query=Aqualand+Hotel+and+Resort%2C+Batroun+city%2C+Lebanon</x:v>
      </x:c>
      <x:c r="R20" s="30" t="str"/>
      <x:c r="S20" s="30" t="str">
        <x:v>2026-09-08</x:v>
      </x:c>
    </x:row>
    <x:row r="21">
      <x:c r="A21" s="30" t="n">
        <x:v>20</x:v>
      </x:c>
      <x:c r="B21" s="30" t="str">
        <x:v>Batroun</x:v>
      </x:c>
      <x:c r="C21" s="30" t="str">
        <x:v>Batroun city</x:v>
      </x:c>
      <x:c r="D21" s="30" t="str">
        <x:v>Batroun Sports Club</x:v>
      </x:c>
      <x:c r="E21" s="30" t="str">
        <x:v>Sports / Fitness</x:v>
      </x:c>
      <x:c r="F21" s="30" t="str">
        <x:v>Sports-club activities</x:v>
      </x:c>
      <x:c r="G21" s="30" t="str">
        <x:v>Active listing</x:v>
      </x:c>
      <x:c r="H21" s="30" t="str">
        <x:v>Current / Active</x:v>
      </x:c>
      <x:c r="I21" s="30" t="str">
        <x:v>7M68+QCX, Batroun</x:v>
      </x:c>
      <x:c r="J21" s="30" t="str"/>
      <x:c r="K21" s="32" t="n">
        <x:v>4.2</x:v>
      </x:c>
      <x:c r="L21" s="34" t="n">
        <x:v>14</x:v>
      </x:c>
      <x:c r="M21" s="30" t="str"/>
      <x:c r="N21" s="30" t="str">
        <x:v>Medium</x:v>
      </x:c>
      <x:c r="O21" s="30" t="str">
        <x:v>Current local-business listing</x:v>
      </x:c>
      <x:c r="P21" s="30" t="str">
        <x:v>https://www.google.com/maps/search/?api=1&amp;query=Batroun+Sports+Club%2C+Batroun%2C+Lebanon</x:v>
      </x:c>
      <x:c r="Q21" s="30" t="str">
        <x:v>https://www.google.com/maps/search/?api=1&amp;query=Batroun+Sports+Club%2C+Batroun+city%2C+Lebanon</x:v>
      </x:c>
      <x:c r="R21" s="30" t="str"/>
      <x:c r="S21" s="30" t="str">
        <x:v>2026-09-08</x:v>
      </x:c>
    </x:row>
    <x:row r="22">
      <x:c r="A22" s="30" t="n">
        <x:v>21</x:v>
      </x:c>
      <x:c r="B22" s="30" t="str">
        <x:v>Batroun</x:v>
      </x:c>
      <x:c r="C22" s="30" t="str">
        <x:v>Batroun city</x:v>
      </x:c>
      <x:c r="D22" s="30" t="str">
        <x:v>Batroun Park</x:v>
      </x:c>
      <x:c r="E22" s="30" t="str">
        <x:v>Parks / Family</x:v>
      </x:c>
      <x:c r="F22" s="30" t="str">
        <x:v>Public park and family outdoor space</x:v>
      </x:c>
      <x:c r="G22" s="30" t="str">
        <x:v>Temporarily closed</x:v>
      </x:c>
      <x:c r="H22" s="30" t="str">
        <x:v>Closed / Conflict</x:v>
      </x:c>
      <x:c r="I22" s="30" t="str">
        <x:v>6MX8+7G4, Batroun</x:v>
      </x:c>
      <x:c r="J22" s="30" t="str"/>
      <x:c r="K22" s="32" t="n">
        <x:v>3.9</x:v>
      </x:c>
      <x:c r="L22" s="34" t="n">
        <x:v>175</x:v>
      </x:c>
      <x:c r="M22" s="30" t="str"/>
      <x:c r="N22" s="30" t="str">
        <x:v>High</x:v>
      </x:c>
      <x:c r="O22" s="30" t="str">
        <x:v>Current local-business listing</x:v>
      </x:c>
      <x:c r="P22" s="30" t="str">
        <x:v>https://www.google.com/maps/search/?api=1&amp;query=Batroun+Park%2C+Batroun%2C+Lebanon</x:v>
      </x:c>
      <x:c r="Q22" s="30" t="str">
        <x:v>https://www.google.com/maps/search/?api=1&amp;query=Batroun+Park%2C+Batroun+city%2C+Lebanon</x:v>
      </x:c>
      <x:c r="R22" s="30" t="str"/>
      <x:c r="S22" s="30" t="str">
        <x:v>2026-09-08</x:v>
      </x:c>
    </x:row>
    <x:row r="23">
      <x:c r="A23" s="30" t="n">
        <x:v>22</x:v>
      </x:c>
      <x:c r="B23" s="30" t="str">
        <x:v>Batroun</x:v>
      </x:c>
      <x:c r="C23" s="30" t="str">
        <x:v>Tehoum / Batroun area</x:v>
      </x:c>
      <x:c r="D23" s="30" t="str">
        <x:v>Batroun Funland</x:v>
      </x:c>
      <x:c r="E23" s="30" t="str">
        <x:v>Family / Play</x:v>
      </x:c>
      <x:c r="F23" s="30" t="str">
        <x:v>Children's playground</x:v>
      </x:c>
      <x:c r="G23" s="30" t="str">
        <x:v>Active listing</x:v>
      </x:c>
      <x:c r="H23" s="30" t="str">
        <x:v>Current / Active</x:v>
      </x:c>
      <x:c r="I23" s="30" t="str">
        <x:v>6M93+4JP, Tehoum</x:v>
      </x:c>
      <x:c r="J23" s="30" t="str"/>
      <x:c r="K23" s="32"/>
      <x:c r="L23" s="34"/>
      <x:c r="M23" s="30" t="str">
        <x:v>10:00-19:00 daily</x:v>
      </x:c>
      <x:c r="N23" s="30" t="str">
        <x:v>Medium</x:v>
      </x:c>
      <x:c r="O23" s="30" t="str">
        <x:v>Current local-business listing</x:v>
      </x:c>
      <x:c r="P23" s="30" t="str">
        <x:v>https://www.google.com/maps/search/?api=1&amp;query=Batroun+Funland%2C+Tehoum%2C+Lebanon</x:v>
      </x:c>
      <x:c r="Q23" s="30" t="str">
        <x:v>https://www.google.com/maps/search/?api=1&amp;query=Batroun+Funland%2C+Tehoum+%2F+Batroun+area%2C+Lebanon</x:v>
      </x:c>
      <x:c r="R23" s="30" t="str">
        <x:v>Outside central Batroun; included as Batroun-area family activity.</x:v>
      </x:c>
      <x:c r="S23" s="30" t="str">
        <x:v>2026-09-08</x:v>
      </x:c>
    </x:row>
    <x:row r="24">
      <x:c r="A24" s="30" t="n">
        <x:v>23</x:v>
      </x:c>
      <x:c r="B24" s="30" t="str">
        <x:v>Tripoli</x:v>
      </x:c>
      <x:c r="C24" s="30" t="str">
        <x:v>Tripoli city</x:v>
      </x:c>
      <x:c r="D24" s="30" t="str">
        <x:v>Tripoli Castle / Citadel Saint Gilles</x:v>
      </x:c>
      <x:c r="E24" s="30" t="str">
        <x:v>Heritage / Culture</x:v>
      </x:c>
      <x:c r="F24" s="30" t="str">
        <x:v>Explore the citadel, history and city views</x:v>
      </x:c>
      <x:c r="G24" s="30" t="str">
        <x:v>Active - verified</x:v>
      </x:c>
      <x:c r="H24" s="30" t="str">
        <x:v>Current / Active</x:v>
      </x:c>
      <x:c r="I24" s="30" t="str">
        <x:v>CRMV+9R6, Tripoli</x:v>
      </x:c>
      <x:c r="J24" s="30" t="str">
        <x:v>+961 6 430 495</x:v>
      </x:c>
      <x:c r="K24" s="32" t="n">
        <x:v>4.5</x:v>
      </x:c>
      <x:c r="L24" s="34" t="n">
        <x:v>2254</x:v>
      </x:c>
      <x:c r="M24" s="30" t="str">
        <x:v>09:00-15:00 daily</x:v>
      </x:c>
      <x:c r="N24" s="30" t="str">
        <x:v>High</x:v>
      </x:c>
      <x:c r="O24" s="30" t="str">
        <x:v>Current local-business listing + Visit Tripoli</x:v>
      </x:c>
      <x:c r="P24" s="30" t="str">
        <x:v>https://visit-tripoli.com/guide</x:v>
      </x:c>
      <x:c r="Q24" s="30" t="str">
        <x:v>https://www.google.com/maps/search/?api=1&amp;query=Tripoli+Castle+%2F+Citadel+Saint+Gilles%2C+Tripoli+city%2C+Lebanon</x:v>
      </x:c>
      <x:c r="R24" s="30" t="str"/>
      <x:c r="S24" s="30" t="str">
        <x:v>2026-09-08</x:v>
      </x:c>
    </x:row>
    <x:row r="25">
      <x:c r="A25" s="30" t="n">
        <x:v>24</x:v>
      </x:c>
      <x:c r="B25" s="30" t="str">
        <x:v>Tripoli</x:v>
      </x:c>
      <x:c r="C25" s="30" t="str">
        <x:v>Old City, Tripoli</x:v>
      </x:c>
      <x:c r="D25" s="30" t="str">
        <x:v>Old Souks of Tripoli</x:v>
      </x:c>
      <x:c r="E25" s="30" t="str">
        <x:v>Heritage / Culture</x:v>
      </x:c>
      <x:c r="F25" s="30" t="str">
        <x:v>Walk traditional souks, crafts, architecture and local markets</x:v>
      </x:c>
      <x:c r="G25" s="30" t="str">
        <x:v>Active public area</x:v>
      </x:c>
      <x:c r="H25" s="30" t="str">
        <x:v>Current / Active</x:v>
      </x:c>
      <x:c r="I25" s="30" t="str">
        <x:v>Old City, Tripoli</x:v>
      </x:c>
      <x:c r="J25" s="30" t="str"/>
      <x:c r="K25" s="32"/>
      <x:c r="L25" s="34"/>
      <x:c r="M25" s="30" t="str"/>
      <x:c r="N25" s="30" t="str">
        <x:v>High</x:v>
      </x:c>
      <x:c r="O25" s="30" t="str">
        <x:v>Visit Tripoli + ICOMOS Lebanon</x:v>
      </x:c>
      <x:c r="P25" s="30" t="str">
        <x:v>https://lebanon.icomos.org/icomos/ancient-city-of-tripoli/</x:v>
      </x:c>
      <x:c r="Q25" s="30" t="str">
        <x:v>https://www.google.com/maps/search/?api=1&amp;query=Old+Souks+of+Tripoli%2C+Old+City%2C+Tripoli%2C+Lebanon</x:v>
      </x:c>
      <x:c r="R25" s="30" t="str"/>
      <x:c r="S25" s="30" t="str">
        <x:v>2026-09-08</x:v>
      </x:c>
    </x:row>
    <x:row r="26">
      <x:c r="A26" s="30" t="n">
        <x:v>25</x:v>
      </x:c>
      <x:c r="B26" s="30" t="str">
        <x:v>Tripoli</x:v>
      </x:c>
      <x:c r="C26" s="30" t="str">
        <x:v>Old City, Tripoli</x:v>
      </x:c>
      <x:c r="D26" s="30" t="str">
        <x:v>Khan Al-Khayyatin</x:v>
      </x:c>
      <x:c r="E26" s="30" t="str">
        <x:v>Heritage / Culture</x:v>
      </x:c>
      <x:c r="F26" s="30" t="str">
        <x:v>Explore the historic tailors' khan and old-city architecture</x:v>
      </x:c>
      <x:c r="G26" s="30" t="str">
        <x:v>Timeless / verify access</x:v>
      </x:c>
      <x:c r="H26" s="30" t="str">
        <x:v>Seasonal / Verify</x:v>
      </x:c>
      <x:c r="I26" s="30" t="str">
        <x:v>Old City, Tripoli</x:v>
      </x:c>
      <x:c r="J26" s="30" t="str"/>
      <x:c r="K26" s="32"/>
      <x:c r="L26" s="34"/>
      <x:c r="M26" s="30" t="str"/>
      <x:c r="N26" s="30" t="str">
        <x:v>High</x:v>
      </x:c>
      <x:c r="O26" s="30" t="str">
        <x:v>Visit Tripoli + ICOMOS Lebanon</x:v>
      </x:c>
      <x:c r="P26" s="30" t="str">
        <x:v>https://visit-tripoli.com/discover</x:v>
      </x:c>
      <x:c r="Q26" s="30" t="str">
        <x:v>https://www.google.com/maps/search/?api=1&amp;query=Khan+Al-Khayyatin%2C+Old+City%2C+Tripoli%2C+Lebanon</x:v>
      </x:c>
      <x:c r="R26" s="30" t="str"/>
      <x:c r="S26" s="30" t="str">
        <x:v>2026-09-08</x:v>
      </x:c>
    </x:row>
    <x:row r="27">
      <x:c r="A27" s="30" t="n">
        <x:v>26</x:v>
      </x:c>
      <x:c r="B27" s="30" t="str">
        <x:v>Tripoli</x:v>
      </x:c>
      <x:c r="C27" s="30" t="str">
        <x:v>Old City, Tripoli</x:v>
      </x:c>
      <x:c r="D27" s="30" t="str">
        <x:v>Khan Al-Saboun</x:v>
      </x:c>
      <x:c r="E27" s="30" t="str">
        <x:v>Heritage / Crafts</x:v>
      </x:c>
      <x:c r="F27" s="30" t="str">
        <x:v>Historic khan, soap-making heritage and artisan shopping</x:v>
      </x:c>
      <x:c r="G27" s="30" t="str">
        <x:v>Active - verified</x:v>
      </x:c>
      <x:c r="H27" s="30" t="str">
        <x:v>Current / Active</x:v>
      </x:c>
      <x:c r="I27" s="30" t="str">
        <x:v>Old City, Tripoli</x:v>
      </x:c>
      <x:c r="J27" s="30" t="str"/>
      <x:c r="K27" s="32" t="n">
        <x:v>4.2</x:v>
      </x:c>
      <x:c r="L27" s="34" t="n">
        <x:v>942</x:v>
      </x:c>
      <x:c r="M27" s="30" t="str"/>
      <x:c r="N27" s="30" t="str">
        <x:v>High</x:v>
      </x:c>
      <x:c r="O27" s="30" t="str">
        <x:v>Current local-business listing + Khan Al-Saboun heritage site</x:v>
      </x:c>
      <x:c r="P27" s="30" t="str">
        <x:v>https://khanalsaboun.net/?page_id=1257&amp;v=26403ec6d537</x:v>
      </x:c>
      <x:c r="Q27" s="30" t="str">
        <x:v>https://www.google.com/maps/search/?api=1&amp;query=Khan+Al-Saboun%2C+Old+City%2C+Tripoli%2C+Lebanon</x:v>
      </x:c>
      <x:c r="R27" s="30" t="str"/>
      <x:c r="S27" s="30" t="str">
        <x:v>2026-09-08</x:v>
      </x:c>
    </x:row>
    <x:row r="28">
      <x:c r="A28" s="30" t="n">
        <x:v>27</x:v>
      </x:c>
      <x:c r="B28" s="30" t="str">
        <x:v>Tripoli</x:v>
      </x:c>
      <x:c r="C28" s="30" t="str">
        <x:v>Old City, Tripoli</x:v>
      </x:c>
      <x:c r="D28" s="30" t="str">
        <x:v>Khan El Askar</x:v>
      </x:c>
      <x:c r="E28" s="30" t="str">
        <x:v>Heritage / Culture</x:v>
      </x:c>
      <x:c r="F28" s="30" t="str">
        <x:v>Historic khan visit and old-city architecture</x:v>
      </x:c>
      <x:c r="G28" s="30" t="str">
        <x:v>Active - verified</x:v>
      </x:c>
      <x:c r="H28" s="30" t="str">
        <x:v>Current / Active</x:v>
      </x:c>
      <x:c r="I28" s="30" t="str">
        <x:v>CRQW+35R, Tripoli</x:v>
      </x:c>
      <x:c r="J28" s="30" t="str"/>
      <x:c r="K28" s="32" t="n">
        <x:v>4.3</x:v>
      </x:c>
      <x:c r="L28" s="34" t="n">
        <x:v>372</x:v>
      </x:c>
      <x:c r="M28" s="30" t="str">
        <x:v>07:00-18:00; Sunday unclear</x:v>
      </x:c>
      <x:c r="N28" s="30" t="str">
        <x:v>High</x:v>
      </x:c>
      <x:c r="O28" s="30" t="str">
        <x:v>Current local-business listing</x:v>
      </x:c>
      <x:c r="P28" s="30" t="str">
        <x:v>https://www.google.com/maps/search/?api=1&amp;query=Khan+El+Askar%2C+Tripoli%2C+Lebanon</x:v>
      </x:c>
      <x:c r="Q28" s="30" t="str">
        <x:v>https://www.google.com/maps/search/?api=1&amp;query=Khan+El+Askar%2C+Old+City%2C+Tripoli%2C+Lebanon</x:v>
      </x:c>
      <x:c r="R28" s="30" t="str"/>
      <x:c r="S28" s="30" t="str">
        <x:v>2026-09-08</x:v>
      </x:c>
    </x:row>
    <x:row r="29">
      <x:c r="A29" s="30" t="n">
        <x:v>28</x:v>
      </x:c>
      <x:c r="B29" s="30" t="str">
        <x:v>Tripoli</x:v>
      </x:c>
      <x:c r="C29" s="30" t="str">
        <x:v>Old City, Tripoli</x:v>
      </x:c>
      <x:c r="D29" s="30" t="str">
        <x:v>Hammam Al Jadid</x:v>
      </x:c>
      <x:c r="E29" s="30" t="str">
        <x:v>Heritage / Culture</x:v>
      </x:c>
      <x:c r="F29" s="30" t="str">
        <x:v>Visit a historic hammam</x:v>
      </x:c>
      <x:c r="G29" s="30" t="str">
        <x:v>Active listing / verify access</x:v>
      </x:c>
      <x:c r="H29" s="30" t="str">
        <x:v>Seasonal / Verify</x:v>
      </x:c>
      <x:c r="I29" s="30" t="str">
        <x:v>CRJR+VMM, Tripoli</x:v>
      </x:c>
      <x:c r="J29" s="30" t="str"/>
      <x:c r="K29" s="32" t="n">
        <x:v>4</x:v>
      </x:c>
      <x:c r="L29" s="34" t="n">
        <x:v>23</x:v>
      </x:c>
      <x:c r="M29" s="30" t="str"/>
      <x:c r="N29" s="30" t="str">
        <x:v>High</x:v>
      </x:c>
      <x:c r="O29" s="30" t="str">
        <x:v>Visit Tripoli + current local-business listing</x:v>
      </x:c>
      <x:c r="P29" s="30" t="str">
        <x:v>https://visit-tripoli.com/discover</x:v>
      </x:c>
      <x:c r="Q29" s="30" t="str">
        <x:v>https://www.google.com/maps/search/?api=1&amp;query=Hammam+Al+Jadid%2C+Old+City%2C+Tripoli%2C+Lebanon</x:v>
      </x:c>
      <x:c r="R29" s="30" t="str"/>
      <x:c r="S29" s="30" t="str">
        <x:v>2026-09-08</x:v>
      </x:c>
    </x:row>
    <x:row r="30">
      <x:c r="A30" s="30" t="n">
        <x:v>29</x:v>
      </x:c>
      <x:c r="B30" s="30" t="str">
        <x:v>Tripoli</x:v>
      </x:c>
      <x:c r="C30" s="30" t="str">
        <x:v>Old City, Tripoli</x:v>
      </x:c>
      <x:c r="D30" s="30" t="str">
        <x:v>Al Mansouri Great Mosque</x:v>
      </x:c>
      <x:c r="E30" s="30" t="str">
        <x:v>Heritage / Religious</x:v>
      </x:c>
      <x:c r="F30" s="30" t="str">
        <x:v>Visit Mamluk mosque and architecture</x:v>
      </x:c>
      <x:c r="G30" s="30" t="str">
        <x:v>Active - verified</x:v>
      </x:c>
      <x:c r="H30" s="30" t="str">
        <x:v>Current / Active</x:v>
      </x:c>
      <x:c r="I30" s="30" t="str">
        <x:v>CRMR+RXH, Tripoli</x:v>
      </x:c>
      <x:c r="J30" s="30" t="str"/>
      <x:c r="K30" s="32" t="n">
        <x:v>4.7</x:v>
      </x:c>
      <x:c r="L30" s="34" t="n">
        <x:v>561</x:v>
      </x:c>
      <x:c r="M30" s="30" t="str">
        <x:v>05:00-18:00 daily</x:v>
      </x:c>
      <x:c r="N30" s="30" t="str">
        <x:v>High</x:v>
      </x:c>
      <x:c r="O30" s="30" t="str">
        <x:v>Current local-business listing + Visit Tripoli</x:v>
      </x:c>
      <x:c r="P30" s="30" t="str">
        <x:v>https://visit-tripoli.com/guide</x:v>
      </x:c>
      <x:c r="Q30" s="30" t="str">
        <x:v>https://www.google.com/maps/search/?api=1&amp;query=Al+Mansouri+Great+Mosque%2C+Old+City%2C+Tripoli%2C+Lebanon</x:v>
      </x:c>
      <x:c r="R30" s="30" t="str"/>
      <x:c r="S30" s="30" t="str">
        <x:v>2026-09-08</x:v>
      </x:c>
    </x:row>
    <x:row r="31">
      <x:c r="A31" s="30" t="n">
        <x:v>30</x:v>
      </x:c>
      <x:c r="B31" s="30" t="str">
        <x:v>Tripoli</x:v>
      </x:c>
      <x:c r="C31" s="30" t="str">
        <x:v>Tripoli city</x:v>
      </x:c>
      <x:c r="D31" s="30" t="str">
        <x:v>Taynal Mosque</x:v>
      </x:c>
      <x:c r="E31" s="30" t="str">
        <x:v>Heritage / Religious</x:v>
      </x:c>
      <x:c r="F31" s="30" t="str">
        <x:v>Visit historic mosque and architecture</x:v>
      </x:c>
      <x:c r="G31" s="30" t="str">
        <x:v>Active - verified</x:v>
      </x:c>
      <x:c r="H31" s="30" t="str">
        <x:v>Current / Active</x:v>
      </x:c>
      <x:c r="I31" s="30" t="str">
        <x:v>CRJQ+93P, Tripoli</x:v>
      </x:c>
      <x:c r="J31" s="30" t="str"/>
      <x:c r="K31" s="32" t="n">
        <x:v>4.7</x:v>
      </x:c>
      <x:c r="L31" s="34" t="n">
        <x:v>863</x:v>
      </x:c>
      <x:c r="M31" s="30" t="str">
        <x:v>Open 24 hours</x:v>
      </x:c>
      <x:c r="N31" s="30" t="str">
        <x:v>High</x:v>
      </x:c>
      <x:c r="O31" s="30" t="str">
        <x:v>Current local-business listing</x:v>
      </x:c>
      <x:c r="P31" s="30" t="str">
        <x:v>https://www.google.com/maps/search/?api=1&amp;query=Taynal+Mosque%2C+Tripoli%2C+Lebanon</x:v>
      </x:c>
      <x:c r="Q31" s="30" t="str">
        <x:v>https://www.google.com/maps/search/?api=1&amp;query=Taynal+Mosque%2C+Tripoli+city%2C+Lebanon</x:v>
      </x:c>
      <x:c r="R31" s="30" t="str"/>
      <x:c r="S31" s="30" t="str">
        <x:v>2026-09-08</x:v>
      </x:c>
    </x:row>
    <x:row r="32">
      <x:c r="A32" s="30" t="n">
        <x:v>31</x:v>
      </x:c>
      <x:c r="B32" s="30" t="str">
        <x:v>Tripoli</x:v>
      </x:c>
      <x:c r="C32" s="30" t="str">
        <x:v>Old City, Tripoli</x:v>
      </x:c>
      <x:c r="D32" s="30" t="str">
        <x:v>Al-Qartawiya Madrasa</x:v>
      </x:c>
      <x:c r="E32" s="30" t="str">
        <x:v>Heritage / Culture</x:v>
      </x:c>
      <x:c r="F32" s="30" t="str">
        <x:v>Historic madrasa architecture</x:v>
      </x:c>
      <x:c r="G32" s="30" t="str">
        <x:v>Timeless / verify access</x:v>
      </x:c>
      <x:c r="H32" s="30" t="str">
        <x:v>Seasonal / Verify</x:v>
      </x:c>
      <x:c r="I32" s="30" t="str">
        <x:v>Old City near Great Mansouri Mosque</x:v>
      </x:c>
      <x:c r="J32" s="30" t="str"/>
      <x:c r="K32" s="32"/>
      <x:c r="L32" s="34"/>
      <x:c r="M32" s="30" t="str"/>
      <x:c r="N32" s="30" t="str">
        <x:v>High</x:v>
      </x:c>
      <x:c r="O32" s="30" t="str">
        <x:v>Visit Tripoli place directory</x:v>
      </x:c>
      <x:c r="P32" s="30" t="str">
        <x:v>https://visit-tripoli.com/discover</x:v>
      </x:c>
      <x:c r="Q32" s="30" t="str">
        <x:v>https://www.google.com/maps/search/?api=1&amp;query=Al-Qartawiya+Madrasa%2C+Old+City%2C+Tripoli%2C+Lebanon</x:v>
      </x:c>
      <x:c r="R32" s="30" t="str"/>
      <x:c r="S32" s="30" t="str">
        <x:v>2026-09-08</x:v>
      </x:c>
    </x:row>
    <x:row r="33">
      <x:c r="A33" s="30" t="n">
        <x:v>32</x:v>
      </x:c>
      <x:c r="B33" s="30" t="str">
        <x:v>Tripoli</x:v>
      </x:c>
      <x:c r="C33" s="30" t="str">
        <x:v>Al-Tell, Tripoli</x:v>
      </x:c>
      <x:c r="D33" s="30" t="str">
        <x:v>Sultan AbdulHamid Clocktower</x:v>
      </x:c>
      <x:c r="E33" s="30" t="str">
        <x:v>Heritage / Culture</x:v>
      </x:c>
      <x:c r="F33" s="30" t="str">
        <x:v>See Ottoman clock tower and Al-Tell Square</x:v>
      </x:c>
      <x:c r="G33" s="30" t="str">
        <x:v>Active - verified</x:v>
      </x:c>
      <x:c r="H33" s="30" t="str">
        <x:v>Current / Active</x:v>
      </x:c>
      <x:c r="I33" s="30" t="str">
        <x:v>CRPQ+P9P, Tripoli</x:v>
      </x:c>
      <x:c r="J33" s="30" t="str"/>
      <x:c r="K33" s="32" t="n">
        <x:v>4.5</x:v>
      </x:c>
      <x:c r="L33" s="34" t="n">
        <x:v>595</x:v>
      </x:c>
      <x:c r="M33" s="30" t="str">
        <x:v>Open 24 hours</x:v>
      </x:c>
      <x:c r="N33" s="30" t="str">
        <x:v>High</x:v>
      </x:c>
      <x:c r="O33" s="30" t="str">
        <x:v>Current local-business listing + Museum With No Frontiers</x:v>
      </x:c>
      <x:c r="P33" s="30" t="str">
        <x:v>https://sharinghistory.museumwnf.org/database_item.php?id=monument%3BAWE%3Blb%3B41%3Ben</x:v>
      </x:c>
      <x:c r="Q33" s="30" t="str">
        <x:v>https://www.google.com/maps/search/?api=1&amp;query=Sultan+AbdulHamid+Clocktower%2C+Al-Tell%2C+Tripoli%2C+Lebanon</x:v>
      </x:c>
      <x:c r="R33" s="30" t="str"/>
      <x:c r="S33" s="30" t="str">
        <x:v>2026-09-08</x:v>
      </x:c>
    </x:row>
    <x:row r="34">
      <x:c r="A34" s="30" t="n">
        <x:v>33</x:v>
      </x:c>
      <x:c r="B34" s="30" t="str">
        <x:v>Tripoli</x:v>
      </x:c>
      <x:c r="C34" s="30" t="str">
        <x:v>Al-Tell, Tripoli</x:v>
      </x:c>
      <x:c r="D34" s="30" t="str">
        <x:v>Al Manchieh Park</x:v>
      </x:c>
      <x:c r="E34" s="30" t="str">
        <x:v>Parks / Family</x:v>
      </x:c>
      <x:c r="F34" s="30" t="str">
        <x:v>Public park, walking and family outdoor time</x:v>
      </x:c>
      <x:c r="G34" s="30" t="str">
        <x:v>Active - verified</x:v>
      </x:c>
      <x:c r="H34" s="30" t="str">
        <x:v>Current / Active</x:v>
      </x:c>
      <x:c r="I34" s="30" t="str">
        <x:v>CRPQ+X8W, Tripoli</x:v>
      </x:c>
      <x:c r="J34" s="30" t="str"/>
      <x:c r="K34" s="32" t="n">
        <x:v>3.9</x:v>
      </x:c>
      <x:c r="L34" s="34" t="n">
        <x:v>1331</x:v>
      </x:c>
      <x:c r="M34" s="30" t="str">
        <x:v>Approx. 06:00-18:00/19:00</x:v>
      </x:c>
      <x:c r="N34" s="30" t="str">
        <x:v>High</x:v>
      </x:c>
      <x:c r="O34" s="30" t="str">
        <x:v>Current local-business listing</x:v>
      </x:c>
      <x:c r="P34" s="30" t="str">
        <x:v>https://www.google.com/maps/search/?api=1&amp;query=Al+Manchieh+Park%2C+Tripoli%2C+Lebanon</x:v>
      </x:c>
      <x:c r="Q34" s="30" t="str">
        <x:v>https://www.google.com/maps/search/?api=1&amp;query=Al+Manchieh+Park%2C+Al-Tell%2C+Tripoli%2C+Lebanon</x:v>
      </x:c>
      <x:c r="R34" s="30" t="str"/>
      <x:c r="S34" s="30" t="str">
        <x:v>2026-09-08</x:v>
      </x:c>
    </x:row>
    <x:row r="35">
      <x:c r="A35" s="30" t="n">
        <x:v>34</x:v>
      </x:c>
      <x:c r="B35" s="30" t="str">
        <x:v>Tripoli</x:v>
      </x:c>
      <x:c r="C35" s="30" t="str">
        <x:v>Tripoli city</x:v>
      </x:c>
      <x:c r="D35" s="30" t="str">
        <x:v>Tripoli Park</x:v>
      </x:c>
      <x:c r="E35" s="30" t="str">
        <x:v>Parks / Family</x:v>
      </x:c>
      <x:c r="F35" s="30" t="str">
        <x:v>City park and family outdoor time</x:v>
      </x:c>
      <x:c r="G35" s="30" t="str">
        <x:v>Active - verified</x:v>
      </x:c>
      <x:c r="H35" s="30" t="str">
        <x:v>Current / Active</x:v>
      </x:c>
      <x:c r="I35" s="30" t="str">
        <x:v>Al Bayan Street, Tripoli</x:v>
      </x:c>
      <x:c r="J35" s="30" t="str">
        <x:v>+961 70 494 013</x:v>
      </x:c>
      <x:c r="K35" s="32" t="n">
        <x:v>3.6</x:v>
      </x:c>
      <x:c r="L35" s="34" t="n">
        <x:v>306</x:v>
      </x:c>
      <x:c r="M35" s="30" t="str">
        <x:v>09:00-23:30; Fri-Sun later</x:v>
      </x:c>
      <x:c r="N35" s="30" t="str">
        <x:v>High</x:v>
      </x:c>
      <x:c r="O35" s="30" t="str">
        <x:v>Current local-business listing</x:v>
      </x:c>
      <x:c r="P35" s="30" t="str">
        <x:v>https://www.google.com/maps/search/?api=1&amp;query=Tripoli+Park%2C+Tripoli%2C+Lebanon</x:v>
      </x:c>
      <x:c r="Q35" s="30" t="str">
        <x:v>https://www.google.com/maps/search/?api=1&amp;query=Tripoli+Park%2C+Tripoli+city%2C+Lebanon</x:v>
      </x:c>
      <x:c r="R35" s="30" t="str"/>
      <x:c r="S35" s="30" t="str">
        <x:v>2026-09-08</x:v>
      </x:c>
    </x:row>
    <x:row r="36">
      <x:c r="A36" s="30" t="n">
        <x:v>35</x:v>
      </x:c>
      <x:c r="B36" s="30" t="str">
        <x:v>Tripoli</x:v>
      </x:c>
      <x:c r="C36" s="30" t="str">
        <x:v>Tripoli city</x:v>
      </x:c>
      <x:c r="D36" s="30" t="str">
        <x:v>Rachid Karami International Fair</x:v>
      </x:c>
      <x:c r="E36" s="30" t="str">
        <x:v>Heritage / Architecture</x:v>
      </x:c>
      <x:c r="F36" s="30" t="str">
        <x:v>Modernist architecture sightseeing and cultural-site visit</x:v>
      </x:c>
      <x:c r="G36" s="30" t="str">
        <x:v>Active listing / conservation caution</x:v>
      </x:c>
      <x:c r="H36" s="30" t="str">
        <x:v>Current / Active</x:v>
      </x:c>
      <x:c r="I36" s="30" t="str">
        <x:v>CRPG+HR4, Tripoli</x:v>
      </x:c>
      <x:c r="J36" s="30" t="str">
        <x:v>+961 6 600 427</x:v>
      </x:c>
      <x:c r="K36" s="32" t="n">
        <x:v>4.2</x:v>
      </x:c>
      <x:c r="L36" s="34" t="n">
        <x:v>1085</x:v>
      </x:c>
      <x:c r="M36" s="30" t="str">
        <x:v>Public listing says open 24 hours</x:v>
      </x:c>
      <x:c r="N36" s="30" t="str">
        <x:v>High</x:v>
      </x:c>
      <x:c r="O36" s="30" t="str">
        <x:v>UNESCO World Heritage Centre + current local-business listing</x:v>
      </x:c>
      <x:c r="P36" s="30" t="str">
        <x:v>https://whc.unesco.org/en/list/1702</x:v>
      </x:c>
      <x:c r="Q36" s="30" t="str">
        <x:v>https://www.google.com/maps/search/?api=1&amp;query=Rachid+Karami+International+Fair%2C+Tripoli+city%2C+Lebanon</x:v>
      </x:c>
      <x:c r="R36" s="30" t="str">
        <x:v>UNESCO lists the property as World Heritage in Danger; access to individual structures may be restricted.</x:v>
      </x:c>
      <x:c r="S36" s="30" t="str">
        <x:v>2026-09-08</x:v>
      </x:c>
    </x:row>
    <x:row r="37">
      <x:c r="A37" s="30" t="n">
        <x:v>36</x:v>
      </x:c>
      <x:c r="B37" s="30" t="str">
        <x:v>Tripoli</x:v>
      </x:c>
      <x:c r="C37" s="30" t="str">
        <x:v>Rachid Karami Fair, Tripoli</x:v>
      </x:c>
      <x:c r="D37" s="30" t="str">
        <x:v>Red Power</x:v>
      </x:c>
      <x:c r="E37" s="30" t="str">
        <x:v>Sports / Adventure</x:v>
      </x:c>
      <x:c r="F37" s="30" t="str">
        <x:v>Go-karting</x:v>
      </x:c>
      <x:c r="G37" s="30" t="str">
        <x:v>Active listing</x:v>
      </x:c>
      <x:c r="H37" s="30" t="str">
        <x:v>Current / Active</x:v>
      </x:c>
      <x:c r="I37" s="30" t="str">
        <x:v>Rachid Karami International Fair, Tripoli</x:v>
      </x:c>
      <x:c r="J37" s="30" t="str">
        <x:v>+961 3 257 637</x:v>
      </x:c>
      <x:c r="K37" s="32" t="n">
        <x:v>4.1</x:v>
      </x:c>
      <x:c r="L37" s="34" t="n">
        <x:v>89</x:v>
      </x:c>
      <x:c r="M37" s="30" t="str"/>
      <x:c r="N37" s="30" t="str">
        <x:v>High</x:v>
      </x:c>
      <x:c r="O37" s="30" t="str">
        <x:v>Current local-business listing</x:v>
      </x:c>
      <x:c r="P37" s="30" t="str">
        <x:v>https://www.google.com/maps/search/?api=1&amp;query=Red+Power%2C+Tripoli%2C+Lebanon</x:v>
      </x:c>
      <x:c r="Q37" s="30" t="str">
        <x:v>https://www.google.com/maps/search/?api=1&amp;query=Red+Power%2C+Rachid+Karami+Fair%2C+Tripoli%2C+Lebanon</x:v>
      </x:c>
      <x:c r="R37" s="30" t="str"/>
      <x:c r="S37" s="30" t="str">
        <x:v>2026-09-08</x:v>
      </x:c>
    </x:row>
    <x:row r="38">
      <x:c r="A38" s="30" t="n">
        <x:v>37</x:v>
      </x:c>
      <x:c r="B38" s="30" t="str">
        <x:v>Tripoli</x:v>
      </x:c>
      <x:c r="C38" s="30" t="str">
        <x:v>Tripoli city</x:v>
      </x:c>
      <x:c r="D38" s="30" t="str">
        <x:v>Moove Playground</x:v>
      </x:c>
      <x:c r="E38" s="30" t="str">
        <x:v>Family / Play</x:v>
      </x:c>
      <x:c r="F38" s="30" t="str">
        <x:v>Indoor active play for children</x:v>
      </x:c>
      <x:c r="G38" s="30" t="str">
        <x:v>Active - verified</x:v>
      </x:c>
      <x:c r="H38" s="30" t="str">
        <x:v>Current / Active</x:v>
      </x:c>
      <x:c r="I38" s="30" t="str">
        <x:v>Achir El Dayeh, Tripoli</x:v>
      </x:c>
      <x:c r="J38" s="30" t="str">
        <x:v>+961 71 692 903</x:v>
      </x:c>
      <x:c r="K38" s="32" t="n">
        <x:v>4.8</x:v>
      </x:c>
      <x:c r="L38" s="34" t="n">
        <x:v>125</x:v>
      </x:c>
      <x:c r="M38" s="30" t="str">
        <x:v>11:00-21:00; Fri from 13:30</x:v>
      </x:c>
      <x:c r="N38" s="30" t="str">
        <x:v>High</x:v>
      </x:c>
      <x:c r="O38" s="30" t="str">
        <x:v>Current local-business listing + EVNT</x:v>
      </x:c>
      <x:c r="P38" s="30" t="str">
        <x:v>https://evnt.co/venues/moove-playground</x:v>
      </x:c>
      <x:c r="Q38" s="30" t="str">
        <x:v>https://www.google.com/maps/search/?api=1&amp;query=Moove+Playground%2C+Tripoli+city%2C+Lebanon</x:v>
      </x:c>
      <x:c r="R38" s="30" t="str"/>
      <x:c r="S38" s="30" t="str">
        <x:v>2026-09-08</x:v>
      </x:c>
    </x:row>
    <x:row r="39">
      <x:c r="A39" s="30" t="n">
        <x:v>38</x:v>
      </x:c>
      <x:c r="B39" s="30" t="str">
        <x:v>Tripoli</x:v>
      </x:c>
      <x:c r="C39" s="30" t="str">
        <x:v>Dam w Farez, Tripoli</x:v>
      </x:c>
      <x:c r="D39" s="30" t="str">
        <x:v>WowZone Tripoli</x:v>
      </x:c>
      <x:c r="E39" s="30" t="str">
        <x:v>Family / Play</x:v>
      </x:c>
      <x:c r="F39" s="30" t="str">
        <x:v>Indoor children's playground</x:v>
      </x:c>
      <x:c r="G39" s="30" t="str">
        <x:v>Active - verified</x:v>
      </x:c>
      <x:c r="H39" s="30" t="str">
        <x:v>Current / Active</x:v>
      </x:c>
      <x:c r="I39" s="30" t="str">
        <x:v>Above Zaatar W Zeit and Roadster, Dam w Farez, Tripoli</x:v>
      </x:c>
      <x:c r="J39" s="30" t="str">
        <x:v>+961 3 944 030</x:v>
      </x:c>
      <x:c r="K39" s="32" t="n">
        <x:v>4.8</x:v>
      </x:c>
      <x:c r="L39" s="34" t="n">
        <x:v>303</x:v>
      </x:c>
      <x:c r="M39" s="30" t="str">
        <x:v>11:00-22:00 daily</x:v>
      </x:c>
      <x:c r="N39" s="30" t="str">
        <x:v>High</x:v>
      </x:c>
      <x:c r="O39" s="30" t="str">
        <x:v>Current local-business listing</x:v>
      </x:c>
      <x:c r="P39" s="30" t="str">
        <x:v>https://www.google.com/maps/search/?api=1&amp;query=WowZone+Tripoli%2C+Tripoli%2C+Lebanon</x:v>
      </x:c>
      <x:c r="Q39" s="30" t="str">
        <x:v>https://www.google.com/maps/search/?api=1&amp;query=WowZone+Tripoli%2C+Dam+w+Farez%2C+Tripoli%2C+Lebanon</x:v>
      </x:c>
      <x:c r="R39" s="30" t="str"/>
      <x:c r="S39" s="30" t="str">
        <x:v>2026-09-08</x:v>
      </x:c>
    </x:row>
    <x:row r="40">
      <x:c r="A40" s="30" t="n">
        <x:v>39</x:v>
      </x:c>
      <x:c r="B40" s="30" t="str">
        <x:v>Tripoli</x:v>
      </x:c>
      <x:c r="C40" s="30" t="str">
        <x:v>Tripoli city</x:v>
      </x:c>
      <x:c r="D40" s="30" t="str">
        <x:v>Astro Fun Center</x:v>
      </x:c>
      <x:c r="E40" s="30" t="str">
        <x:v>Family / Entertainment</x:v>
      </x:c>
      <x:c r="F40" s="30" t="str">
        <x:v>Laser tag, arcade, VR lounge and indoor playground</x:v>
      </x:c>
      <x:c r="G40" s="30" t="str">
        <x:v>Active listing</x:v>
      </x:c>
      <x:c r="H40" s="30" t="str">
        <x:v>Current / Active</x:v>
      </x:c>
      <x:c r="I40" s="30" t="str">
        <x:v>Tripoli</x:v>
      </x:c>
      <x:c r="J40" s="30" t="str">
        <x:v>+961 78 806 788</x:v>
      </x:c>
      <x:c r="K40" s="32" t="n">
        <x:v>3.6</x:v>
      </x:c>
      <x:c r="L40" s="34" t="n">
        <x:v>10</x:v>
      </x:c>
      <x:c r="M40" s="30" t="str"/>
      <x:c r="N40" s="30" t="str">
        <x:v>Medium</x:v>
      </x:c>
      <x:c r="O40" s="30" t="str">
        <x:v>Beiruting + current local-business listing</x:v>
      </x:c>
      <x:c r="P40" s="30" t="str">
        <x:v>https://www.beiruting.com/kids/places/1666/astro-fun-center</x:v>
      </x:c>
      <x:c r="Q40" s="30" t="str">
        <x:v>https://www.google.com/maps/search/?api=1&amp;query=Astro+Fun+Center%2C+Tripoli+city%2C+Lebanon</x:v>
      </x:c>
      <x:c r="R40" s="30" t="str"/>
      <x:c r="S40" s="30" t="str">
        <x:v>2026-09-08</x:v>
      </x:c>
    </x:row>
    <x:row r="41">
      <x:c r="A41" s="30" t="n">
        <x:v>40</x:v>
      </x:c>
      <x:c r="B41" s="30" t="str">
        <x:v>Tripoli</x:v>
      </x:c>
      <x:c r="C41" s="30" t="str">
        <x:v>Tripoli city</x:v>
      </x:c>
      <x:c r="D41" s="30" t="str">
        <x:v>Horse Riding Club - نادي ركوب الخيل</x:v>
      </x:c>
      <x:c r="E41" s="30" t="str">
        <x:v>Sports / Adventure</x:v>
      </x:c>
      <x:c r="F41" s="30" t="str">
        <x:v>Horse riding</x:v>
      </x:c>
      <x:c r="G41" s="30" t="str">
        <x:v>Active - verified</x:v>
      </x:c>
      <x:c r="H41" s="30" t="str">
        <x:v>Current / Active</x:v>
      </x:c>
      <x:c r="I41" s="30" t="str">
        <x:v>CVVG+MR3, Tripoli</x:v>
      </x:c>
      <x:c r="J41" s="30" t="str"/>
      <x:c r="K41" s="32" t="n">
        <x:v>4.7</x:v>
      </x:c>
      <x:c r="L41" s="34" t="n">
        <x:v>13</x:v>
      </x:c>
      <x:c r="M41" s="30" t="str">
        <x:v>08:00-18:00 daily</x:v>
      </x:c>
      <x:c r="N41" s="30" t="str">
        <x:v>High</x:v>
      </x:c>
      <x:c r="O41" s="30" t="str">
        <x:v>Current local-business listing</x:v>
      </x:c>
      <x:c r="P41" s="30" t="str">
        <x:v>https://www.google.com/maps/search/?api=1&amp;query=%D9%86%D8%A7%D8%AF%D9%8A+%D8%B1%D9%83%D9%88%D8%A8+%D8%A7%D9%84%D8%AE%D9%8A%D9%84%2C+Tripoli%2C+Lebanon</x:v>
      </x:c>
      <x:c r="Q41" s="30" t="str">
        <x:v>https://www.google.com/maps/search/?api=1&amp;query=Horse+Riding+Club+-+%D9%86%D8%A7%D8%AF%D9%8A+%D8%B1%D9%83%D9%88%D8%A8+%D8%A7%D9%84%D8%AE%D9%8A%D9%84%2C+Tripoli+city%2C+Lebanon</x:v>
      </x:c>
      <x:c r="R41" s="30" t="str"/>
      <x:c r="S41" s="30" t="str">
        <x:v>2026-09-08</x:v>
      </x:c>
    </x:row>
    <x:row r="42">
      <x:c r="A42" s="30" t="n">
        <x:v>41</x:v>
      </x:c>
      <x:c r="B42" s="30" t="str">
        <x:v>Tripoli</x:v>
      </x:c>
      <x:c r="C42" s="30" t="str">
        <x:v>Tripoli city</x:v>
      </x:c>
      <x:c r="D42" s="30" t="str">
        <x:v>Horse riding Tripoli - ركوب الخيل ابو عمر</x:v>
      </x:c>
      <x:c r="E42" s="30" t="str">
        <x:v>Sports / Adventure</x:v>
      </x:c>
      <x:c r="F42" s="30" t="str">
        <x:v>Horse riding</x:v>
      </x:c>
      <x:c r="G42" s="30" t="str">
        <x:v>Active listing</x:v>
      </x:c>
      <x:c r="H42" s="30" t="str">
        <x:v>Current / Active</x:v>
      </x:c>
      <x:c r="I42" s="30" t="str">
        <x:v>Tripoli</x:v>
      </x:c>
      <x:c r="J42" s="30" t="str">
        <x:v>+961 70 682 833</x:v>
      </x:c>
      <x:c r="K42" s="32" t="n">
        <x:v>3.8</x:v>
      </x:c>
      <x:c r="L42" s="34" t="n">
        <x:v>8</x:v>
      </x:c>
      <x:c r="M42" s="30" t="str">
        <x:v>15:00-19:00 daily</x:v>
      </x:c>
      <x:c r="N42" s="30" t="str">
        <x:v>Medium</x:v>
      </x:c>
      <x:c r="O42" s="30" t="str">
        <x:v>Current local-business listing</x:v>
      </x:c>
      <x:c r="P42" s="30" t="str">
        <x:v>https://www.google.com/maps/search/?api=1&amp;query=%D8%B1%D9%83%D9%88%D8%A8+%D8%A7%D9%84%D8%AE%D9%8A%D9%84+%D8%A7%D8%A8%D9%88+%D8%B9%D9%85%D8%B1%2C+Tripoli%2C+Lebanon</x:v>
      </x:c>
      <x:c r="Q42" s="30" t="str">
        <x:v>https://www.google.com/maps/search/?api=1&amp;query=Horse+riding+Tripoli+-+%D8%B1%D9%83%D9%88%D8%A8+%D8%A7%D9%84%D8%AE%D9%8A%D9%84+%D8%A7%D8%A8%D9%88+%D8%B9%D9%85%D8%B1%2C+Tripoli+city%2C+Lebanon</x:v>
      </x:c>
      <x:c r="R42" s="30" t="str"/>
      <x:c r="S42" s="30" t="str">
        <x:v>2026-09-08</x:v>
      </x:c>
    </x:row>
    <x:row r="43">
      <x:c r="A43" s="30" t="n">
        <x:v>42</x:v>
      </x:c>
      <x:c r="B43" s="30" t="str">
        <x:v>Tripoli</x:v>
      </x:c>
      <x:c r="C43" s="30" t="str">
        <x:v>El Mina</x:v>
      </x:c>
      <x:c r="D43" s="30" t="str">
        <x:v>El Mina Corniche</x:v>
      </x:c>
      <x:c r="E43" s="30" t="str">
        <x:v>Scenic / Public Space</x:v>
      </x:c>
      <x:c r="F43" s="30" t="str">
        <x:v>Seaside walk, sunset, cycling and coastal views</x:v>
      </x:c>
      <x:c r="G43" s="30" t="str">
        <x:v>Active public space</x:v>
      </x:c>
      <x:c r="H43" s="30" t="str">
        <x:v>Current / Active</x:v>
      </x:c>
      <x:c r="I43" s="30" t="str">
        <x:v>El Mina, Tripoli</x:v>
      </x:c>
      <x:c r="J43" s="30" t="str"/>
      <x:c r="K43" s="32" t="n">
        <x:v>4.2</x:v>
      </x:c>
      <x:c r="L43" s="34" t="n">
        <x:v>302</x:v>
      </x:c>
      <x:c r="M43" s="30" t="str">
        <x:v>Open public space</x:v>
      </x:c>
      <x:c r="N43" s="30" t="str">
        <x:v>High</x:v>
      </x:c>
      <x:c r="O43" s="30" t="str">
        <x:v>Current local-business listings + Tripoli visitor guide</x:v>
      </x:c>
      <x:c r="P43" s="30" t="str">
        <x:v>https://visit-tripoli.com/guide</x:v>
      </x:c>
      <x:c r="Q43" s="30" t="str">
        <x:v>https://www.google.com/maps/search/?api=1&amp;query=El+Mina+Corniche%2C+El+Mina%2C+Lebanon</x:v>
      </x:c>
      <x:c r="R43" s="30" t="str"/>
      <x:c r="S43" s="30" t="str">
        <x:v>2026-09-08</x:v>
      </x:c>
    </x:row>
    <x:row r="44">
      <x:c r="A44" s="30" t="n">
        <x:v>43</x:v>
      </x:c>
      <x:c r="B44" s="30" t="str">
        <x:v>Tripoli</x:v>
      </x:c>
      <x:c r="C44" s="30" t="str">
        <x:v>El Mina</x:v>
      </x:c>
      <x:c r="D44" s="30" t="str">
        <x:v>El Mina Port</x:v>
      </x:c>
      <x:c r="E44" s="30" t="str">
        <x:v>Scenic / Heritage</x:v>
      </x:c>
      <x:c r="F44" s="30" t="str">
        <x:v>Harbor walk, boats, old port scenery and photography</x:v>
      </x:c>
      <x:c r="G44" s="30" t="str">
        <x:v>Active public space</x:v>
      </x:c>
      <x:c r="H44" s="30" t="str">
        <x:v>Current / Active</x:v>
      </x:c>
      <x:c r="I44" s="30" t="str">
        <x:v>El Mina, Tripoli</x:v>
      </x:c>
      <x:c r="J44" s="30" t="str"/>
      <x:c r="K44" s="32"/>
      <x:c r="L44" s="34"/>
      <x:c r="M44" s="30" t="str"/>
      <x:c r="N44" s="30" t="str">
        <x:v>High</x:v>
      </x:c>
      <x:c r="O44" s="30" t="str">
        <x:v>Tripadvisor current Tripoli family-attractions page</x:v>
      </x:c>
      <x:c r="P44" s="30" t="str">
        <x:v>https://www.tripadvisor.com/Attractions-g295422-Activities-zft11306-Tripoli_North_Governorate.html</x:v>
      </x:c>
      <x:c r="Q44" s="30" t="str">
        <x:v>https://www.google.com/maps/search/?api=1&amp;query=El+Mina+Port%2C+El+Mina%2C+Lebanon</x:v>
      </x:c>
      <x:c r="R44" s="30" t="str"/>
      <x:c r="S44" s="30" t="str">
        <x:v>2026-09-08</x:v>
      </x:c>
    </x:row>
    <x:row r="45">
      <x:c r="A45" s="30" t="n">
        <x:v>44</x:v>
      </x:c>
      <x:c r="B45" s="30" t="str">
        <x:v>Tripoli</x:v>
      </x:c>
      <x:c r="C45" s="30" t="str">
        <x:v>El Mina</x:v>
      </x:c>
      <x:c r="D45" s="30" t="str">
        <x:v>Barsbay Tower / Lion Tower</x:v>
      </x:c>
      <x:c r="E45" s="30" t="str">
        <x:v>Heritage / Culture</x:v>
      </x:c>
      <x:c r="F45" s="30" t="str">
        <x:v>Historic tower visit and coastal heritage</x:v>
      </x:c>
      <x:c r="G45" s="30" t="str">
        <x:v>Active - verified</x:v>
      </x:c>
      <x:c r="H45" s="30" t="str">
        <x:v>Current / Active</x:v>
      </x:c>
      <x:c r="I45" s="30" t="str">
        <x:v>CRXJ+X65, Tripoli</x:v>
      </x:c>
      <x:c r="J45" s="30" t="str">
        <x:v>+961 7 523 697</x:v>
      </x:c>
      <x:c r="K45" s="32" t="n">
        <x:v>4.1</x:v>
      </x:c>
      <x:c r="L45" s="34" t="n">
        <x:v>42</x:v>
      </x:c>
      <x:c r="M45" s="30" t="str">
        <x:v>08:00-18:00 on listed days</x:v>
      </x:c>
      <x:c r="N45" s="30" t="str">
        <x:v>High</x:v>
      </x:c>
      <x:c r="O45" s="30" t="str">
        <x:v>Current local-business listing</x:v>
      </x:c>
      <x:c r="P45" s="30" t="str">
        <x:v>https://www.google.com/maps/search/?api=1&amp;query=Barsbay+Tower%2C+Tripoli%2C+Lebanon</x:v>
      </x:c>
      <x:c r="Q45" s="30" t="str">
        <x:v>https://www.google.com/maps/search/?api=1&amp;query=Barsbay+Tower+%2F+Lion+Tower%2C+El+Mina%2C+Lebanon</x:v>
      </x:c>
      <x:c r="R45" s="30" t="str"/>
      <x:c r="S45" s="30" t="str">
        <x:v>2026-09-08</x:v>
      </x:c>
    </x:row>
    <x:row r="46">
      <x:c r="A46" s="30" t="n">
        <x:v>45</x:v>
      </x:c>
      <x:c r="B46" s="30" t="str">
        <x:v>Tripoli</x:v>
      </x:c>
      <x:c r="C46" s="30" t="str">
        <x:v>Offshore Tripoli / El Mina</x:v>
      </x:c>
      <x:c r="D46" s="30" t="str">
        <x:v>Palm Islands Nature Reserve</x:v>
      </x:c>
      <x:c r="E46" s="30" t="str">
        <x:v>Nature / Water</x:v>
      </x:c>
      <x:c r="F46" s="30" t="str">
        <x:v>Boat trip, nature observation, swimming/snorkeling in permitted summer areas</x:v>
      </x:c>
      <x:c r="G46" s="30" t="str">
        <x:v>Seasonal / map-status conflict</x:v>
      </x:c>
      <x:c r="H46" s="30" t="str">
        <x:v>Closed / Conflict</x:v>
      </x:c>
      <x:c r="I46" s="30" t="str">
        <x:v>Approx. 5.5 km northwest of Tripoli</x:v>
      </x:c>
      <x:c r="J46" s="30" t="str">
        <x:v>+961 78 985 697</x:v>
      </x:c>
      <x:c r="K46" s="32" t="n">
        <x:v>4.3</x:v>
      </x:c>
      <x:c r="L46" s="34" t="n">
        <x:v>491</x:v>
      </x:c>
      <x:c r="M46" s="30" t="str">
        <x:v>Official visitor season: July-September, daylight only</x:v>
      </x:c>
      <x:c r="N46" s="30" t="str">
        <x:v>High</x:v>
      </x:c>
      <x:c r="O46" s="30" t="str">
        <x:v>Lebanese Ministry of Environment + current visitor evidence</x:v>
      </x:c>
      <x:c r="P46" s="30" t="str">
        <x:v>https://www.moe.gov.lb/ProtectedAreas/pdf/PA/PALM-RESERVE.pdf</x:v>
      </x:c>
      <x:c r="Q46" s="30" t="str">
        <x:v>https://www.google.com/maps/search/?api=1&amp;query=Palm+Islands+Nature+Reserve%2C+Offshore+Tripoli+%2F+El+Mina%2C+Lebanon</x:v>
      </x:c>
      <x:c r="R46" s="30" t="str">
        <x:v>Official MoE guidance allows summer visits, while a map business listing says permanently closed. Verify boat/access locally.</x:v>
      </x:c>
      <x:c r="S46" s="30" t="str">
        <x:v>2026-09-08</x:v>
      </x:c>
    </x:row>
    <x:row r="47">
      <x:c r="A47" s="30" t="n">
        <x:v>46</x:v>
      </x:c>
      <x:c r="B47" s="30" t="str">
        <x:v>Tripoli</x:v>
      </x:c>
      <x:c r="C47" s="30" t="str">
        <x:v>Tripoli city</x:v>
      </x:c>
      <x:c r="D47" s="30" t="str">
        <x:v>Tripoli Heritage Trail</x:v>
      </x:c>
      <x:c r="E47" s="30" t="str">
        <x:v>Guided / Cultural</x:v>
      </x:c>
      <x:c r="F47" s="30" t="str">
        <x:v>Guided heritage walks through old-city monuments and souks</x:v>
      </x:c>
      <x:c r="G47" s="30" t="str">
        <x:v>Active listing</x:v>
      </x:c>
      <x:c r="H47" s="30" t="str">
        <x:v>Current / Active</x:v>
      </x:c>
      <x:c r="I47" s="30" t="str">
        <x:v>Municipality area, Tripoli</x:v>
      </x:c>
      <x:c r="J47" s="30" t="str"/>
      <x:c r="K47" s="32"/>
      <x:c r="L47" s="34"/>
      <x:c r="M47" s="30" t="str"/>
      <x:c r="N47" s="30" t="str">
        <x:v>Medium</x:v>
      </x:c>
      <x:c r="O47" s="30" t="str">
        <x:v>Current tour-operator listing + Visit Tripoli</x:v>
      </x:c>
      <x:c r="P47" s="30" t="str">
        <x:v>https://visit-tripoli.com/guide</x:v>
      </x:c>
      <x:c r="Q47" s="30" t="str">
        <x:v>https://www.google.com/maps/search/?api=1&amp;query=Tripoli+Heritage+Trail%2C+Tripoli+city%2C+Lebanon</x:v>
      </x:c>
      <x:c r="R47" s="30" t="str"/>
      <x:c r="S47" s="30" t="str">
        <x:v>2026-09-08</x:v>
      </x:c>
    </x:row>
    <x:row r="48">
      <x:c r="A48" s="30" t="n">
        <x:v>47</x:v>
      </x:c>
      <x:c r="B48" s="30" t="str">
        <x:v>Tripoli</x:v>
      </x:c>
      <x:c r="C48" s="30" t="str">
        <x:v>Tripoli city</x:v>
      </x:c>
      <x:c r="D48" s="30" t="str">
        <x:v>Safadi Cultural Center</x:v>
      </x:c>
      <x:c r="E48" s="30" t="str">
        <x:v>Culture / Education</x:v>
      </x:c>
      <x:c r="F48" s="30" t="str">
        <x:v>Cultural events, exhibitions and community programming</x:v>
      </x:c>
      <x:c r="G48" s="30" t="str">
        <x:v>Active - verified</x:v>
      </x:c>
      <x:c r="H48" s="30" t="str">
        <x:v>Current / Active</x:v>
      </x:c>
      <x:c r="I48" s="30" t="str">
        <x:v>Tripoli</x:v>
      </x:c>
      <x:c r="J48" s="30" t="str">
        <x:v>+961 6 411 081</x:v>
      </x:c>
      <x:c r="K48" s="32" t="n">
        <x:v>4.5</x:v>
      </x:c>
      <x:c r="L48" s="34" t="n">
        <x:v>185</x:v>
      </x:c>
      <x:c r="M48" s="30" t="str">
        <x:v>Current listing shows daytime hours Tue-Thu</x:v>
      </x:c>
      <x:c r="N48" s="30" t="str">
        <x:v>High</x:v>
      </x:c>
      <x:c r="O48" s="30" t="str">
        <x:v>Current local-business listing</x:v>
      </x:c>
      <x:c r="P48" s="30" t="str">
        <x:v>https://www.google.com/maps/search/?api=1&amp;query=Safadi+Cultural+Center%2C+Tripoli%2C+Lebanon</x:v>
      </x:c>
      <x:c r="Q48" s="30" t="str">
        <x:v>https://www.google.com/maps/search/?api=1&amp;query=Safadi+Cultural+Center%2C+Tripoli+city%2C+Lebanon</x:v>
      </x:c>
      <x:c r="R48" s="30" t="str"/>
      <x:c r="S48" s="30" t="str">
        <x:v>2026-09-08</x:v>
      </x:c>
    </x:row>
    <x:row r="49">
      <x:c r="A49" s="30" t="n">
        <x:v>48</x:v>
      </x:c>
      <x:c r="B49" s="30" t="str">
        <x:v>Ehden</x:v>
      </x:c>
      <x:c r="C49" s="30" t="str">
        <x:v>Ehden</x:v>
      </x:c>
      <x:c r="D49" s="30" t="str">
        <x:v>Horsh Ehden Nature Reserve</x:v>
      </x:c>
      <x:c r="E49" s="30" t="str">
        <x:v>Nature / Hiking</x:v>
      </x:c>
      <x:c r="F49" s="30" t="str">
        <x:v>Hiking, guided tours, birdwatching, nature photography and environmental education</x:v>
      </x:c>
      <x:c r="G49" s="30" t="str">
        <x:v>Active - verified</x:v>
      </x:c>
      <x:c r="H49" s="30" t="str">
        <x:v>Current / Active</x:v>
      </x:c>
      <x:c r="I49" s="30" t="str">
        <x:v>Nabeh Jouiit Rd, Ehden</x:v>
      </x:c>
      <x:c r="J49" s="30" t="str">
        <x:v>+961 70 601 601</x:v>
      </x:c>
      <x:c r="K49" s="32" t="n">
        <x:v>4.7</x:v>
      </x:c>
      <x:c r="L49" s="34" t="n">
        <x:v>888</x:v>
      </x:c>
      <x:c r="M49" s="30" t="str"/>
      <x:c r="N49" s="30" t="str">
        <x:v>High</x:v>
      </x:c>
      <x:c r="O49" s="30" t="str">
        <x:v>Official Horsh Ehden site + Ministry of Environment + current local listing</x:v>
      </x:c>
      <x:c r="P49" s="30" t="str">
        <x:v>https://horshehden.org/</x:v>
      </x:c>
      <x:c r="Q49" s="30" t="str">
        <x:v>https://www.google.com/maps/search/?api=1&amp;query=Horsh+Ehden+Nature+Reserve%2C+Ehden%2C+Lebanon</x:v>
      </x:c>
      <x:c r="R49" s="30" t="str"/>
      <x:c r="S49" s="30" t="str">
        <x:v>2026-09-08</x:v>
      </x:c>
    </x:row>
    <x:row r="50">
      <x:c r="A50" s="30" t="n">
        <x:v>49</x:v>
      </x:c>
      <x:c r="B50" s="30" t="str">
        <x:v>Ehden</x:v>
      </x:c>
      <x:c r="C50" s="30" t="str">
        <x:v>Ehden</x:v>
      </x:c>
      <x:c r="D50" s="30" t="str">
        <x:v>Saydet el Hosn Church</x:v>
      </x:c>
      <x:c r="E50" s="30" t="str">
        <x:v>Heritage / Religious</x:v>
      </x:c>
      <x:c r="F50" s="30" t="str">
        <x:v>Visit hilltop church, panoramic views and sunset</x:v>
      </x:c>
      <x:c r="G50" s="30" t="str">
        <x:v>Active - verified</x:v>
      </x:c>
      <x:c r="H50" s="30" t="str">
        <x:v>Current / Active</x:v>
      </x:c>
      <x:c r="I50" s="30" t="str">
        <x:v>7XW5+4J7, Ehden</x:v>
      </x:c>
      <x:c r="J50" s="30" t="str">
        <x:v>+961 6 660 230</x:v>
      </x:c>
      <x:c r="K50" s="32" t="n">
        <x:v>4.8</x:v>
      </x:c>
      <x:c r="L50" s="34" t="n">
        <x:v>663</x:v>
      </x:c>
      <x:c r="M50" s="30" t="str">
        <x:v>Open 24 hours</x:v>
      </x:c>
      <x:c r="N50" s="30" t="str">
        <x:v>High</x:v>
      </x:c>
      <x:c r="O50" s="30" t="str">
        <x:v>Current local-business listing + Visit Ehden</x:v>
      </x:c>
      <x:c r="P50" s="30" t="str">
        <x:v>https://visitehden.com/</x:v>
      </x:c>
      <x:c r="Q50" s="30" t="str">
        <x:v>https://www.google.com/maps/search/?api=1&amp;query=Saydet+el+Hosn+Church%2C+Ehden%2C+Lebanon</x:v>
      </x:c>
      <x:c r="R50" s="30" t="str"/>
      <x:c r="S50" s="30" t="str">
        <x:v>2026-09-08</x:v>
      </x:c>
    </x:row>
    <x:row r="51">
      <x:c r="A51" s="30" t="n">
        <x:v>50</x:v>
      </x:c>
      <x:c r="B51" s="30" t="str">
        <x:v>Ehden</x:v>
      </x:c>
      <x:c r="C51" s="30" t="str">
        <x:v>Ehden</x:v>
      </x:c>
      <x:c r="D51" s="30" t="str">
        <x:v>Al Midan</x:v>
      </x:c>
      <x:c r="E51" s="30" t="str">
        <x:v>Scenic / Public Space</x:v>
      </x:c>
      <x:c r="F51" s="30" t="str">
        <x:v>Town-center stroll, social life and local atmosphere</x:v>
      </x:c>
      <x:c r="G51" s="30" t="str">
        <x:v>Active public space</x:v>
      </x:c>
      <x:c r="H51" s="30" t="str">
        <x:v>Current / Active</x:v>
      </x:c>
      <x:c r="I51" s="30" t="str">
        <x:v>Midan, Ehden</x:v>
      </x:c>
      <x:c r="J51" s="30" t="str"/>
      <x:c r="K51" s="32"/>
      <x:c r="L51" s="34"/>
      <x:c r="M51" s="30" t="str"/>
      <x:c r="N51" s="30" t="str">
        <x:v>High</x:v>
      </x:c>
      <x:c r="O51" s="30" t="str">
        <x:v>Visit Ehden official destination site</x:v>
      </x:c>
      <x:c r="P51" s="30" t="str">
        <x:v>https://visitehden.com/</x:v>
      </x:c>
      <x:c r="Q51" s="30" t="str">
        <x:v>https://www.google.com/maps/search/?api=1&amp;query=Al+Midan%2C+Ehden%2C+Lebanon</x:v>
      </x:c>
      <x:c r="R51" s="30" t="str"/>
      <x:c r="S51" s="30" t="str">
        <x:v>2026-09-08</x:v>
      </x:c>
    </x:row>
    <x:row r="52">
      <x:c r="A52" s="30" t="n">
        <x:v>51</x:v>
      </x:c>
      <x:c r="B52" s="30" t="str">
        <x:v>Ehden</x:v>
      </x:c>
      <x:c r="C52" s="30" t="str">
        <x:v>Ehden</x:v>
      </x:c>
      <x:c r="D52" s="30" t="str">
        <x:v>Ketle</x:v>
      </x:c>
      <x:c r="E52" s="30" t="str">
        <x:v>Heritage / Local Landmark</x:v>
      </x:c>
      <x:c r="F52" s="30" t="str">
        <x:v>Visit a local landmark highlighted by Ehden's destination site</x:v>
      </x:c>
      <x:c r="G52" s="30" t="str">
        <x:v>Timeless / verify access</x:v>
      </x:c>
      <x:c r="H52" s="30" t="str">
        <x:v>Seasonal / Verify</x:v>
      </x:c>
      <x:c r="I52" s="30" t="str">
        <x:v>Ehden</x:v>
      </x:c>
      <x:c r="J52" s="30" t="str"/>
      <x:c r="K52" s="32"/>
      <x:c r="L52" s="34"/>
      <x:c r="M52" s="30" t="str"/>
      <x:c r="N52" s="30" t="str">
        <x:v>Medium</x:v>
      </x:c>
      <x:c r="O52" s="30" t="str">
        <x:v>Visit Ehden official destination site</x:v>
      </x:c>
      <x:c r="P52" s="30" t="str">
        <x:v>https://visitehden.com/</x:v>
      </x:c>
      <x:c r="Q52" s="30" t="str">
        <x:v>https://www.google.com/maps/search/?api=1&amp;query=Ketle%2C+Ehden%2C+Lebanon</x:v>
      </x:c>
      <x:c r="R52" s="30" t="str"/>
      <x:c r="S52" s="30" t="str">
        <x:v>2026-09-08</x:v>
      </x:c>
    </x:row>
    <x:row r="53">
      <x:c r="A53" s="30" t="n">
        <x:v>52</x:v>
      </x:c>
      <x:c r="B53" s="30" t="str">
        <x:v>Ehden</x:v>
      </x:c>
      <x:c r="C53" s="30" t="str">
        <x:v>Ehden</x:v>
      </x:c>
      <x:c r="D53" s="30" t="str">
        <x:v>Al Koubra الكبرى</x:v>
      </x:c>
      <x:c r="E53" s="30" t="str">
        <x:v>Heritage / Culture</x:v>
      </x:c>
      <x:c r="F53" s="30" t="str">
        <x:v>Historic landmark visit</x:v>
      </x:c>
      <x:c r="G53" s="30" t="str">
        <x:v>Active - verified</x:v>
      </x:c>
      <x:c r="H53" s="30" t="str">
        <x:v>Current / Active</x:v>
      </x:c>
      <x:c r="I53" s="30" t="str">
        <x:v>7XR9+CF2, Ehden</x:v>
      </x:c>
      <x:c r="J53" s="30" t="str"/>
      <x:c r="K53" s="32" t="n">
        <x:v>4.7</x:v>
      </x:c>
      <x:c r="L53" s="34" t="n">
        <x:v>12</x:v>
      </x:c>
      <x:c r="M53" s="30" t="str"/>
      <x:c r="N53" s="30" t="str">
        <x:v>High</x:v>
      </x:c>
      <x:c r="O53" s="30" t="str">
        <x:v>Current local-business listing</x:v>
      </x:c>
      <x:c r="P53" s="30" t="str">
        <x:v>https://www.google.com/maps/search/?api=1&amp;query=Al+Koubra+%D8%A7%D9%84%D9%83%D8%A8%D8%B1%D9%89%2C+Ehden%2C+Lebanon</x:v>
      </x:c>
      <x:c r="Q53" s="30" t="str">
        <x:v>https://www.google.com/maps/search/?api=1&amp;query=Al+Koubra+%D8%A7%D9%84%D9%83%D8%A8%D8%B1%D9%89%2C+Ehden%2C+Lebanon</x:v>
      </x:c>
      <x:c r="R53" s="30" t="str"/>
      <x:c r="S53" s="30" t="str">
        <x:v>2026-09-08</x:v>
      </x:c>
    </x:row>
    <x:row r="54">
      <x:c r="A54" s="30" t="n">
        <x:v>53</x:v>
      </x:c>
      <x:c r="B54" s="30" t="str">
        <x:v>Ehden</x:v>
      </x:c>
      <x:c r="C54" s="30" t="str">
        <x:v>Ehden</x:v>
      </x:c>
      <x:c r="D54" s="30" t="str">
        <x:v>Ehdeniyat</x:v>
      </x:c>
      <x:c r="E54" s="30" t="str">
        <x:v>Event / Festival</x:v>
      </x:c>
      <x:c r="F54" s="30" t="str">
        <x:v>Seasonal concerts and cultural festival events</x:v>
      </x:c>
      <x:c r="G54" s="30" t="str">
        <x:v>Seasonal - current organization</x:v>
      </x:c>
      <x:c r="H54" s="30" t="str">
        <x:v>Seasonal / Verify</x:v>
      </x:c>
      <x:c r="I54" s="30" t="str">
        <x:v>Ehden</x:v>
      </x:c>
      <x:c r="J54" s="30" t="str">
        <x:v>+961 76 908 020</x:v>
      </x:c>
      <x:c r="K54" s="32" t="n">
        <x:v>4.6</x:v>
      </x:c>
      <x:c r="L54" s="34" t="n">
        <x:v>220</x:v>
      </x:c>
      <x:c r="M54" s="30" t="str">
        <x:v>Event schedule varies</x:v>
      </x:c>
      <x:c r="N54" s="30" t="str">
        <x:v>High</x:v>
      </x:c>
      <x:c r="O54" s="30" t="str">
        <x:v>Current local-business listing + Visit Ehden events</x:v>
      </x:c>
      <x:c r="P54" s="30" t="str">
        <x:v>https://visitehden.com/</x:v>
      </x:c>
      <x:c r="Q54" s="30" t="str">
        <x:v>https://www.google.com/maps/search/?api=1&amp;query=Ehdeniyat%2C+Ehden%2C+Lebanon</x:v>
      </x:c>
      <x:c r="R54" s="30" t="str"/>
      <x:c r="S54" s="30" t="str">
        <x:v>2026-09-08</x:v>
      </x:c>
    </x:row>
    <x:row r="55">
      <x:c r="A55" s="30" t="n">
        <x:v>54</x:v>
      </x:c>
      <x:c r="B55" s="30" t="str">
        <x:v>Ehden</x:v>
      </x:c>
      <x:c r="C55" s="30" t="str">
        <x:v>Ehden</x:v>
      </x:c>
      <x:c r="D55" s="30" t="str">
        <x:v>Bandeja Club</x:v>
      </x:c>
      <x:c r="E55" s="30" t="str">
        <x:v>Sports / Fitness</x:v>
      </x:c>
      <x:c r="F55" s="30" t="str">
        <x:v>Padel</x:v>
      </x:c>
      <x:c r="G55" s="30" t="str">
        <x:v>Active - verified</x:v>
      </x:c>
      <x:c r="H55" s="30" t="str">
        <x:v>Current / Active</x:v>
      </x:c>
      <x:c r="I55" s="30" t="str">
        <x:v>7XQ2+P46, Ehden</x:v>
      </x:c>
      <x:c r="J55" s="30" t="str">
        <x:v>+961 81 558 123</x:v>
      </x:c>
      <x:c r="K55" s="32" t="n">
        <x:v>5</x:v>
      </x:c>
      <x:c r="L55" s="34" t="n">
        <x:v>1</x:v>
      </x:c>
      <x:c r="M55" s="30" t="str"/>
      <x:c r="N55" s="30" t="str">
        <x:v>High</x:v>
      </x:c>
      <x:c r="O55" s="30" t="str">
        <x:v>Visit Ehden + current local-business listing</x:v>
      </x:c>
      <x:c r="P55" s="30" t="str">
        <x:v>https://visitehden.com/category/outdoor-activities/</x:v>
      </x:c>
      <x:c r="Q55" s="30" t="str">
        <x:v>https://www.google.com/maps/search/?api=1&amp;query=Bandeja+Club%2C+Ehden%2C+Lebanon</x:v>
      </x:c>
      <x:c r="R55" s="30" t="str"/>
      <x:c r="S55" s="30" t="str">
        <x:v>2026-09-08</x:v>
      </x:c>
    </x:row>
    <x:row r="56">
      <x:c r="A56" s="30" t="n">
        <x:v>55</x:v>
      </x:c>
      <x:c r="B56" s="30" t="str">
        <x:v>Ehden</x:v>
      </x:c>
      <x:c r="C56" s="30" t="str">
        <x:v>Ehden</x:v>
      </x:c>
      <x:c r="D56" s="30" t="str">
        <x:v>Ehden Padel</x:v>
      </x:c>
      <x:c r="E56" s="30" t="str">
        <x:v>Sports / Fitness</x:v>
      </x:c>
      <x:c r="F56" s="30" t="str">
        <x:v>Padel</x:v>
      </x:c>
      <x:c r="G56" s="30" t="str">
        <x:v>Active - verified</x:v>
      </x:c>
      <x:c r="H56" s="30" t="str">
        <x:v>Current / Active</x:v>
      </x:c>
      <x:c r="I56" s="30" t="str">
        <x:v>7XR3+QRR, Ehden</x:v>
      </x:c>
      <x:c r="J56" s="30" t="str">
        <x:v>+961 71 995 060</x:v>
      </x:c>
      <x:c r="K56" s="32" t="n">
        <x:v>5</x:v>
      </x:c>
      <x:c r="L56" s="34" t="n">
        <x:v>11</x:v>
      </x:c>
      <x:c r="M56" s="30" t="str">
        <x:v>08:00-00:00 daily</x:v>
      </x:c>
      <x:c r="N56" s="30" t="str">
        <x:v>High</x:v>
      </x:c>
      <x:c r="O56" s="30" t="str">
        <x:v>Visit Ehden + current local-business listing</x:v>
      </x:c>
      <x:c r="P56" s="30" t="str">
        <x:v>https://visitehden.com/category/outdoor-activities/</x:v>
      </x:c>
      <x:c r="Q56" s="30" t="str">
        <x:v>https://www.google.com/maps/search/?api=1&amp;query=Ehden+Padel%2C+Ehden%2C+Lebanon</x:v>
      </x:c>
      <x:c r="R56" s="30" t="str"/>
      <x:c r="S56" s="30" t="str">
        <x:v>2026-09-08</x:v>
      </x:c>
    </x:row>
    <x:row r="57">
      <x:c r="A57" s="30" t="n">
        <x:v>56</x:v>
      </x:c>
      <x:c r="B57" s="30" t="str">
        <x:v>Ehden</x:v>
      </x:c>
      <x:c r="C57" s="30" t="str">
        <x:v>Ehden</x:v>
      </x:c>
      <x:c r="D57" s="30" t="str">
        <x:v>Ehden Ride</x:v>
      </x:c>
      <x:c r="E57" s="30" t="str">
        <x:v>Sports / Adventure</x:v>
      </x:c>
      <x:c r="F57" s="30" t="str">
        <x:v>ATV, buggies, bikes and Vespas</x:v>
      </x:c>
      <x:c r="G57" s="30" t="str">
        <x:v>Active - verified</x:v>
      </x:c>
      <x:c r="H57" s="30" t="str">
        <x:v>Current / Active</x:v>
      </x:c>
      <x:c r="I57" s="30" t="str">
        <x:v>7XW5+9Q8, Ehden</x:v>
      </x:c>
      <x:c r="J57" s="30" t="str">
        <x:v>+961 70 060 528</x:v>
      </x:c>
      <x:c r="K57" s="32" t="n">
        <x:v>5</x:v>
      </x:c>
      <x:c r="L57" s="34" t="n">
        <x:v>2</x:v>
      </x:c>
      <x:c r="M57" s="30" t="str"/>
      <x:c r="N57" s="30" t="str">
        <x:v>High</x:v>
      </x:c>
      <x:c r="O57" s="30" t="str">
        <x:v>Visit Ehden + current local-business listing</x:v>
      </x:c>
      <x:c r="P57" s="30" t="str">
        <x:v>https://visitehden.com/category/outdoor-activities/</x:v>
      </x:c>
      <x:c r="Q57" s="30" t="str">
        <x:v>https://www.google.com/maps/search/?api=1&amp;query=Ehden+Ride%2C+Ehden%2C+Lebanon</x:v>
      </x:c>
      <x:c r="R57" s="30" t="str"/>
      <x:c r="S57" s="30" t="str">
        <x:v>2026-09-08</x:v>
      </x:c>
    </x:row>
    <x:row r="58">
      <x:c r="A58" s="30" t="n">
        <x:v>57</x:v>
      </x:c>
      <x:c r="B58" s="30" t="str">
        <x:v>Ehden</x:v>
      </x:c>
      <x:c r="C58" s="30" t="str">
        <x:v>Ehden / Jouiit</x:v>
      </x:c>
      <x:c r="D58" s="30" t="str">
        <x:v>Ehden Adventures</x:v>
      </x:c>
      <x:c r="E58" s="30" t="str">
        <x:v>Sports / Adventure</x:v>
      </x:c>
      <x:c r="F58" s="30" t="str">
        <x:v>ATV, buggies, bikes, Vespas, camping and outdoor activities</x:v>
      </x:c>
      <x:c r="G58" s="30" t="str">
        <x:v>Active - verified</x:v>
      </x:c>
      <x:c r="H58" s="30" t="str">
        <x:v>Current / Active</x:v>
      </x:c>
      <x:c r="I58" s="30" t="str">
        <x:v>Ehden Jouiit</x:v>
      </x:c>
      <x:c r="J58" s="30" t="str">
        <x:v>+961 76 556 887</x:v>
      </x:c>
      <x:c r="K58" s="32" t="n">
        <x:v>4.7</x:v>
      </x:c>
      <x:c r="L58" s="34" t="n">
        <x:v>47</x:v>
      </x:c>
      <x:c r="M58" s="30" t="str"/>
      <x:c r="N58" s="30" t="str">
        <x:v>High</x:v>
      </x:c>
      <x:c r="O58" s="30" t="str">
        <x:v>Visit Ehden + current local-business listing</x:v>
      </x:c>
      <x:c r="P58" s="30" t="str">
        <x:v>https://visitehden.com/category/outdoor-activities/</x:v>
      </x:c>
      <x:c r="Q58" s="30" t="str">
        <x:v>https://www.google.com/maps/search/?api=1&amp;query=Ehden+Adventures%2C+Ehden+%2F+Jouiit%2C+Lebanon</x:v>
      </x:c>
      <x:c r="R58" s="30" t="str">
        <x:v>An older Tripadvisor listing reported closure; current map and Visit Ehden still show the operator. Verify booking before travel.</x:v>
      </x:c>
      <x:c r="S58" s="30" t="str">
        <x:v>2026-09-08</x:v>
      </x:c>
    </x:row>
    <x:row r="59">
      <x:c r="A59" s="30" t="n">
        <x:v>58</x:v>
      </x:c>
      <x:c r="B59" s="30" t="str">
        <x:v>Ehden</x:v>
      </x:c>
      <x:c r="C59" s="30" t="str">
        <x:v>Bkouffa / Ehden</x:v>
      </x:c>
      <x:c r="D59" s="30" t="str">
        <x:v>Breathe Ehden</x:v>
      </x:c>
      <x:c r="E59" s="30" t="str">
        <x:v>Camping / Outdoor</x:v>
      </x:c>
      <x:c r="F59" s="30" t="str">
        <x:v>Camping/outdoor social venue</x:v>
      </x:c>
      <x:c r="G59" s="30" t="str">
        <x:v>Permanently closed</x:v>
      </x:c>
      <x:c r="H59" s="30" t="str">
        <x:v>Closed / Conflict</x:v>
      </x:c>
      <x:c r="I59" s="30" t="str">
        <x:v>Bkouffa, Ehden</x:v>
      </x:c>
      <x:c r="J59" s="30" t="str">
        <x:v>+961 71 011 986</x:v>
      </x:c>
      <x:c r="K59" s="32"/>
      <x:c r="L59" s="34"/>
      <x:c r="M59" s="30" t="str"/>
      <x:c r="N59" s="30" t="str">
        <x:v>High</x:v>
      </x:c>
      <x:c r="O59" s="30" t="str">
        <x:v>Visit Ehden listing + current local-business status</x:v>
      </x:c>
      <x:c r="P59" s="30" t="str">
        <x:v>https://visitehden.com/category/outdoor-activities/</x:v>
      </x:c>
      <x:c r="Q59" s="30" t="str">
        <x:v>https://www.google.com/maps/search/?api=1&amp;query=Breathe+Ehden%2C+Bkouffa+%2F+Ehden%2C+Lebanon</x:v>
      </x:c>
      <x:c r="R59" s="30" t="str"/>
      <x:c r="S59" s="30" t="str">
        <x:v>2026-09-08</x:v>
      </x:c>
    </x:row>
    <x:row r="60">
      <x:c r="A60" s="30" t="n">
        <x:v>59</x:v>
      </x:c>
      <x:c r="B60" s="30" t="str">
        <x:v>Ehden</x:v>
      </x:c>
      <x:c r="C60" s="30" t="str">
        <x:v>Ehden</x:v>
      </x:c>
      <x:c r="D60" s="30" t="str">
        <x:v>1850 Btelaya</x:v>
      </x:c>
      <x:c r="E60" s="30" t="str">
        <x:v>Camping / Outdoor</x:v>
      </x:c>
      <x:c r="F60" s="30" t="str">
        <x:v>Camping and mountain stay</x:v>
      </x:c>
      <x:c r="G60" s="30" t="str">
        <x:v>Active - verified</x:v>
      </x:c>
      <x:c r="H60" s="30" t="str">
        <x:v>Current / Active</x:v>
      </x:c>
      <x:c r="I60" s="30" t="str">
        <x:v>8264+JW, Ehden</x:v>
      </x:c>
      <x:c r="J60" s="30" t="str">
        <x:v>+961 78 822 445</x:v>
      </x:c>
      <x:c r="K60" s="32" t="n">
        <x:v>4.8</x:v>
      </x:c>
      <x:c r="L60" s="34" t="n">
        <x:v>31</x:v>
      </x:c>
      <x:c r="M60" s="30" t="str"/>
      <x:c r="N60" s="30" t="str">
        <x:v>High</x:v>
      </x:c>
      <x:c r="O60" s="30" t="str">
        <x:v>Current local-business listing</x:v>
      </x:c>
      <x:c r="P60" s="30" t="str">
        <x:v>https://www.google.com/maps/search/?api=1&amp;query=1850+Btelaya%2C+Ehden%2C+Lebanon</x:v>
      </x:c>
      <x:c r="Q60" s="30" t="str">
        <x:v>https://www.google.com/maps/search/?api=1&amp;query=1850+Btelaya%2C+Ehden%2C+Lebanon</x:v>
      </x:c>
      <x:c r="R60" s="30" t="str"/>
      <x:c r="S60" s="30" t="str">
        <x:v>2026-09-08</x:v>
      </x:c>
    </x:row>
    <x:row r="61">
      <x:c r="A61" s="30" t="n">
        <x:v>60</x:v>
      </x:c>
      <x:c r="B61" s="30" t="str">
        <x:v>Ehden</x:v>
      </x:c>
      <x:c r="C61" s="30" t="str">
        <x:v>Ehden</x:v>
      </x:c>
      <x:c r="D61" s="30" t="str">
        <x:v>Crispers &amp; Joy Ville</x:v>
      </x:c>
      <x:c r="E61" s="30" t="str">
        <x:v>Family / Play</x:v>
      </x:c>
      <x:c r="F61" s="30" t="str">
        <x:v>Children's playground</x:v>
      </x:c>
      <x:c r="G61" s="30" t="str">
        <x:v>Active - verified</x:v>
      </x:c>
      <x:c r="H61" s="30" t="str">
        <x:v>Current / Active</x:v>
      </x:c>
      <x:c r="I61" s="30" t="str">
        <x:v>7XR3+RV5, Ehden</x:v>
      </x:c>
      <x:c r="J61" s="30" t="str">
        <x:v>+961 3 556 051</x:v>
      </x:c>
      <x:c r="K61" s="32"/>
      <x:c r="L61" s="34"/>
      <x:c r="M61" s="30" t="str">
        <x:v>09:30-23:59 daily</x:v>
      </x:c>
      <x:c r="N61" s="30" t="str">
        <x:v>High</x:v>
      </x:c>
      <x:c r="O61" s="30" t="str">
        <x:v>Current local-business listing</x:v>
      </x:c>
      <x:c r="P61" s="30" t="str">
        <x:v>https://www.google.com/maps/search/?api=1&amp;query=Crispers+%26+Joy+Ville%2C+Ehden%2C+Lebanon</x:v>
      </x:c>
      <x:c r="Q61" s="30" t="str">
        <x:v>https://www.google.com/maps/search/?api=1&amp;query=Crispers+%26+Joy+Ville%2C+Ehden%2C+Lebanon</x:v>
      </x:c>
      <x:c r="R61" s="30" t="str"/>
      <x:c r="S61" s="30" t="str">
        <x:v>2026-09-08</x:v>
      </x:c>
    </x:row>
    <x:row r="62">
      <x:c r="A62" s="30" t="n">
        <x:v>61</x:v>
      </x:c>
      <x:c r="B62" s="30" t="str">
        <x:v>Ehden</x:v>
      </x:c>
      <x:c r="C62" s="30" t="str">
        <x:v>Ehden</x:v>
      </x:c>
      <x:c r="D62" s="30" t="str">
        <x:v>Al Senior Court</x:v>
      </x:c>
      <x:c r="E62" s="30" t="str">
        <x:v>Sports / Fitness</x:v>
      </x:c>
      <x:c r="F62" s="30" t="str">
        <x:v>Football</x:v>
      </x:c>
      <x:c r="G62" s="30" t="str">
        <x:v>Listed current</x:v>
      </x:c>
      <x:c r="H62" s="30" t="str">
        <x:v>Current / Active</x:v>
      </x:c>
      <x:c r="I62" s="30" t="str">
        <x:v>Ehden</x:v>
      </x:c>
      <x:c r="J62" s="30" t="str"/>
      <x:c r="K62" s="32"/>
      <x:c r="L62" s="34"/>
      <x:c r="M62" s="30" t="str"/>
      <x:c r="N62" s="30" t="str">
        <x:v>Medium</x:v>
      </x:c>
      <x:c r="O62" s="30" t="str">
        <x:v>Visit Ehden outdoor activities directory</x:v>
      </x:c>
      <x:c r="P62" s="30" t="str">
        <x:v>https://visitehden.com/category/outdoor-activities/</x:v>
      </x:c>
      <x:c r="Q62" s="30" t="str">
        <x:v>https://www.google.com/maps/search/?api=1&amp;query=Al+Senior+Court%2C+Ehden%2C+Lebanon</x:v>
      </x:c>
      <x:c r="R62" s="30" t="str"/>
      <x:c r="S62" s="30" t="str">
        <x:v>2026-09-08</x:v>
      </x:c>
    </x:row>
    <x:row r="63">
      <x:c r="A63" s="30" t="n">
        <x:v>62</x:v>
      </x:c>
      <x:c r="B63" s="30" t="str">
        <x:v>Ehden</x:v>
      </x:c>
      <x:c r="C63" s="30" t="str">
        <x:v>Ehden</x:v>
      </x:c>
      <x:c r="D63" s="30" t="str">
        <x:v>Al Serail Court</x:v>
      </x:c>
      <x:c r="E63" s="30" t="str">
        <x:v>Sports / Fitness</x:v>
      </x:c>
      <x:c r="F63" s="30" t="str">
        <x:v>Basketball</x:v>
      </x:c>
      <x:c r="G63" s="30" t="str">
        <x:v>Listed current</x:v>
      </x:c>
      <x:c r="H63" s="30" t="str">
        <x:v>Current / Active</x:v>
      </x:c>
      <x:c r="I63" s="30" t="str">
        <x:v>Ehden</x:v>
      </x:c>
      <x:c r="J63" s="30" t="str"/>
      <x:c r="K63" s="32"/>
      <x:c r="L63" s="34"/>
      <x:c r="M63" s="30" t="str"/>
      <x:c r="N63" s="30" t="str">
        <x:v>Medium</x:v>
      </x:c>
      <x:c r="O63" s="30" t="str">
        <x:v>Visit Ehden outdoor activities directory</x:v>
      </x:c>
      <x:c r="P63" s="30" t="str">
        <x:v>https://visitehden.com/category/outdoor-activities/</x:v>
      </x:c>
      <x:c r="Q63" s="30" t="str">
        <x:v>https://www.google.com/maps/search/?api=1&amp;query=Al+Serail+Court%2C+Ehden%2C+Lebanon</x:v>
      </x:c>
      <x:c r="R63" s="30" t="str"/>
      <x:c r="S63" s="30" t="str">
        <x:v>2026-09-08</x:v>
      </x:c>
    </x:row>
    <x:row r="64">
      <x:c r="A64" s="30" t="n">
        <x:v>63</x:v>
      </x:c>
      <x:c r="B64" s="30" t="str">
        <x:v>Ehden</x:v>
      </x:c>
      <x:c r="C64" s="30" t="str">
        <x:v>Ehden</x:v>
      </x:c>
      <x:c r="D64" s="30" t="str">
        <x:v>Smash Zone</x:v>
      </x:c>
      <x:c r="E64" s="30" t="str">
        <x:v>Sports / Fitness</x:v>
      </x:c>
      <x:c r="F64" s="30" t="str">
        <x:v>Padel</x:v>
      </x:c>
      <x:c r="G64" s="30" t="str">
        <x:v>Listed current / verify exact map</x:v>
      </x:c>
      <x:c r="H64" s="30" t="str">
        <x:v>Seasonal / Verify</x:v>
      </x:c>
      <x:c r="I64" s="30" t="str">
        <x:v>Ehden</x:v>
      </x:c>
      <x:c r="J64" s="30" t="str">
        <x:v>+961 81 232 202</x:v>
      </x:c>
      <x:c r="K64" s="32"/>
      <x:c r="L64" s="34"/>
      <x:c r="M64" s="30" t="str"/>
      <x:c r="N64" s="30" t="str">
        <x:v>Medium</x:v>
      </x:c>
      <x:c r="O64" s="30" t="str">
        <x:v>Visit Ehden outdoor activities directory</x:v>
      </x:c>
      <x:c r="P64" s="30" t="str">
        <x:v>https://visitehden.com/category/outdoor-activities/</x:v>
      </x:c>
      <x:c r="Q64" s="30" t="str">
        <x:v>https://www.google.com/maps/search/?api=1&amp;query=Smash+Zone%2C+Ehden%2C+Lebanon</x:v>
      </x:c>
      <x:c r="R64" s="30" t="str">
        <x:v>Destination directory lists Smash Zone under Ehden; generic map search can confuse it with similarly named venues elsewhere.</x:v>
      </x:c>
      <x:c r="S64" s="30" t="str">
        <x:v>2026-09-08</x:v>
      </x:c>
    </x:row>
    <x:row r="65">
      <x:c r="A65" s="30" t="n">
        <x:v>64</x:v>
      </x:c>
      <x:c r="B65" s="30" t="str">
        <x:v>Bsharri</x:v>
      </x:c>
      <x:c r="C65" s="30" t="str">
        <x:v>Bsharri / Al Arz</x:v>
      </x:c>
      <x:c r="D65" s="30" t="str">
        <x:v>Cedars of God</x:v>
      </x:c>
      <x:c r="E65" s="30" t="str">
        <x:v>Nature / Heritage</x:v>
      </x:c>
      <x:c r="F65" s="30" t="str">
        <x:v>Walk among ancient cedars, nature appreciation and photography</x:v>
      </x:c>
      <x:c r="G65" s="30" t="str">
        <x:v>Active - verified</x:v>
      </x:c>
      <x:c r="H65" s="30" t="str">
        <x:v>Current / Active</x:v>
      </x:c>
      <x:c r="I65" s="30" t="str">
        <x:v>62VX+HH3, Bsharri</x:v>
      </x:c>
      <x:c r="J65" s="30" t="str"/>
      <x:c r="K65" s="32" t="n">
        <x:v>4.8</x:v>
      </x:c>
      <x:c r="L65" s="34" t="n">
        <x:v>3940</x:v>
      </x:c>
      <x:c r="M65" s="30" t="str">
        <x:v>10:00-18:00 daily on current listing</x:v>
      </x:c>
      <x:c r="N65" s="30" t="str">
        <x:v>High</x:v>
      </x:c>
      <x:c r="O65" s="30" t="str">
        <x:v>UNESCO World Heritage Centre + current local-business listing</x:v>
      </x:c>
      <x:c r="P65" s="30" t="str">
        <x:v>https://whc.unesco.org/en/list/850</x:v>
      </x:c>
      <x:c r="Q65" s="30" t="str">
        <x:v>https://www.google.com/maps/search/?api=1&amp;query=Cedars+of+God%2C+Bsharri+%2F+Al+Arz%2C+Lebanon</x:v>
      </x:c>
      <x:c r="R65" s="30" t="str"/>
      <x:c r="S65" s="30" t="str">
        <x:v>2026-09-08</x:v>
      </x:c>
    </x:row>
    <x:row r="66">
      <x:c r="A66" s="30" t="n">
        <x:v>65</x:v>
      </x:c>
      <x:c r="B66" s="30" t="str">
        <x:v>Bsharri</x:v>
      </x:c>
      <x:c r="C66" s="30" t="str">
        <x:v>Bsharri</x:v>
      </x:c>
      <x:c r="D66" s="30" t="str">
        <x:v>Gibran Khalil Gibran Museum</x:v>
      </x:c>
      <x:c r="E66" s="30" t="str">
        <x:v>Museum / Culture</x:v>
      </x:c>
      <x:c r="F66" s="30" t="str">
        <x:v>Museum visit, Gibran's art, manuscripts and tomb</x:v>
      </x:c>
      <x:c r="G66" s="30" t="str">
        <x:v>Active - verified</x:v>
      </x:c>
      <x:c r="H66" s="30" t="str">
        <x:v>Current / Active</x:v>
      </x:c>
      <x:c r="I66" s="30" t="str">
        <x:v>Bsharri</x:v>
      </x:c>
      <x:c r="J66" s="30" t="str">
        <x:v>+961 6 671 137</x:v>
      </x:c>
      <x:c r="K66" s="32" t="n">
        <x:v>4.6</x:v>
      </x:c>
      <x:c r="L66" s="34" t="n">
        <x:v>781</x:v>
      </x:c>
      <x:c r="M66" s="30" t="str">
        <x:v>10:00-17:00 daily</x:v>
      </x:c>
      <x:c r="N66" s="30" t="str">
        <x:v>High</x:v>
      </x:c>
      <x:c r="O66" s="30" t="str">
        <x:v>Official Gibran site + Bsharri Municipality + current local-business listing</x:v>
      </x:c>
      <x:c r="P66" s="30" t="str">
        <x:v>https://www.gibrankhalilgibran.org/explore</x:v>
      </x:c>
      <x:c r="Q66" s="30" t="str">
        <x:v>https://www.google.com/maps/search/?api=1&amp;query=Gibran+Khalil+Gibran+Museum%2C+Bsharri%2C+Lebanon</x:v>
      </x:c>
      <x:c r="R66" s="30" t="str"/>
      <x:c r="S66" s="30" t="str">
        <x:v>2026-09-08</x:v>
      </x:c>
    </x:row>
    <x:row r="67">
      <x:c r="A67" s="30" t="n">
        <x:v>66</x:v>
      </x:c>
      <x:c r="B67" s="30" t="str">
        <x:v>Bsharri</x:v>
      </x:c>
      <x:c r="C67" s="30" t="str">
        <x:v>Bsharri</x:v>
      </x:c>
      <x:c r="D67" s="30" t="str">
        <x:v>The House of Gibran</x:v>
      </x:c>
      <x:c r="E67" s="30" t="str">
        <x:v>Heritage / Culture</x:v>
      </x:c>
      <x:c r="F67" s="30" t="str">
        <x:v>Visit Gibran-related heritage site</x:v>
      </x:c>
      <x:c r="G67" s="30" t="str">
        <x:v>Listed current / verify access</x:v>
      </x:c>
      <x:c r="H67" s="30" t="str">
        <x:v>Seasonal / Verify</x:v>
      </x:c>
      <x:c r="I67" s="30" t="str">
        <x:v>Bsharri</x:v>
      </x:c>
      <x:c r="J67" s="30" t="str"/>
      <x:c r="K67" s="32"/>
      <x:c r="L67" s="34"/>
      <x:c r="M67" s="30" t="str"/>
      <x:c r="N67" s="30" t="str">
        <x:v>High</x:v>
      </x:c>
      <x:c r="O67" s="30" t="str">
        <x:v>Municipality of Bcharri attractions directory</x:v>
      </x:c>
      <x:c r="P67" s="30" t="str">
        <x:v>https://website.bcharri.net/places/lebanon/north-lebanon/bcharri/attractions/?lang=en</x:v>
      </x:c>
      <x:c r="Q67" s="30" t="str">
        <x:v>https://www.google.com/maps/search/?api=1&amp;query=The+House+of+Gibran%2C+Bsharri%2C+Lebanon</x:v>
      </x:c>
      <x:c r="R67" s="30" t="str"/>
      <x:c r="S67" s="30" t="str">
        <x:v>2026-09-08</x:v>
      </x:c>
    </x:row>
    <x:row r="68">
      <x:c r="A68" s="30" t="n">
        <x:v>67</x:v>
      </x:c>
      <x:c r="B68" s="30" t="str">
        <x:v>Bsharri</x:v>
      </x:c>
      <x:c r="C68" s="30" t="str">
        <x:v>Bsharri District</x:v>
      </x:c>
      <x:c r="D68" s="30" t="str">
        <x:v>Qadisha Valley</x:v>
      </x:c>
      <x:c r="E68" s="30" t="str">
        <x:v>Nature / Hiking</x:v>
      </x:c>
      <x:c r="F68" s="30" t="str">
        <x:v>Hiking, monastery visits, landscape photography and heritage exploration</x:v>
      </x:c>
      <x:c r="G68" s="30" t="str">
        <x:v>Timeless / verify trail conditions</x:v>
      </x:c>
      <x:c r="H68" s="30" t="str">
        <x:v>Seasonal / Verify</x:v>
      </x:c>
      <x:c r="I68" s="30" t="str">
        <x:v>Bsharri District / Holy Valley</x:v>
      </x:c>
      <x:c r="J68" s="30" t="str"/>
      <x:c r="K68" s="32" t="n">
        <x:v>4.8</x:v>
      </x:c>
      <x:c r="L68" s="34" t="n">
        <x:v>202</x:v>
      </x:c>
      <x:c r="M68" s="30" t="str"/>
      <x:c r="N68" s="30" t="str">
        <x:v>High</x:v>
      </x:c>
      <x:c r="O68" s="30" t="str">
        <x:v>UNESCO World Heritage Centre + municipality</x:v>
      </x:c>
      <x:c r="P68" s="30" t="str">
        <x:v>https://whc.unesco.org/en/list/850</x:v>
      </x:c>
      <x:c r="Q68" s="30" t="str">
        <x:v>https://www.google.com/maps/search/?api=1&amp;query=Qadisha+Valley%2C+Bsharri+District%2C+Lebanon</x:v>
      </x:c>
      <x:c r="R68" s="30" t="str"/>
      <x:c r="S68" s="30" t="str">
        <x:v>2026-09-08</x:v>
      </x:c>
    </x:row>
    <x:row r="69">
      <x:c r="A69" s="30" t="n">
        <x:v>68</x:v>
      </x:c>
      <x:c r="B69" s="30" t="str">
        <x:v>Bsharri</x:v>
      </x:c>
      <x:c r="C69" s="30" t="str">
        <x:v>Bsharri</x:v>
      </x:c>
      <x:c r="D69" s="30" t="str">
        <x:v>Qadisha Grotto</x:v>
      </x:c>
      <x:c r="E69" s="30" t="str">
        <x:v>Nature / Cave</x:v>
      </x:c>
      <x:c r="F69" s="30" t="str">
        <x:v>Visit the cave overlooking Qadisha Valley</x:v>
      </x:c>
      <x:c r="G69" s="30" t="str">
        <x:v>Listed current / verify access</x:v>
      </x:c>
      <x:c r="H69" s="30" t="str">
        <x:v>Seasonal / Verify</x:v>
      </x:c>
      <x:c r="I69" s="30" t="str">
        <x:v>Near Cedars Forest, Bsharri</x:v>
      </x:c>
      <x:c r="J69" s="30" t="str"/>
      <x:c r="K69" s="32"/>
      <x:c r="L69" s="34"/>
      <x:c r="M69" s="30" t="str"/>
      <x:c r="N69" s="30" t="str">
        <x:v>High</x:v>
      </x:c>
      <x:c r="O69" s="30" t="str">
        <x:v>Municipality of Bcharri official site</x:v>
      </x:c>
      <x:c r="P69" s="30" t="str">
        <x:v>https://website.bcharri.net/places/lebanon/north-lebanon/bcharri/%D9%85%D8%B9%D8%A7%D9%84%D9%85-%D8%B3%D9%8A%D8%A7%D8%AD%D9%8A%D8%A9/%D9%85%D8%BA%D8%A7%D8%B1%D8%A9-%D9%82%D8%A7%D8%AF%D9%8A%D8%B4%D8%A7/</x:v>
      </x:c>
      <x:c r="Q69" s="30" t="str">
        <x:v>https://www.google.com/maps/search/?api=1&amp;query=Qadisha+Grotto%2C+Bsharri%2C+Lebanon</x:v>
      </x:c>
      <x:c r="R69" s="30" t="str"/>
      <x:c r="S69" s="30" t="str">
        <x:v>2026-09-08</x:v>
      </x:c>
    </x:row>
    <x:row r="70">
      <x:c r="A70" s="30" t="n">
        <x:v>69</x:v>
      </x:c>
      <x:c r="B70" s="30" t="str">
        <x:v>Bsharri</x:v>
      </x:c>
      <x:c r="C70" s="30" t="str">
        <x:v>Al Arz / Bsharri</x:v>
      </x:c>
      <x:c r="D70" s="30" t="str">
        <x:v>Cedars Bsharri Ski Resort / Teleski des Cedres</x:v>
      </x:c>
      <x:c r="E70" s="30" t="str">
        <x:v>Sports / Winter</x:v>
      </x:c>
      <x:c r="F70" s="30" t="str">
        <x:v>Skiing and snow activities</x:v>
      </x:c>
      <x:c r="G70" s="30" t="str">
        <x:v>Seasonal - active listing</x:v>
      </x:c>
      <x:c r="H70" s="30" t="str">
        <x:v>Seasonal / Verify</x:v>
      </x:c>
      <x:c r="I70" s="30" t="str">
        <x:v>Cedars of God / Al Arz, Bsharri</x:v>
      </x:c>
      <x:c r="J70" s="30" t="str">
        <x:v>+961 3 342 762</x:v>
      </x:c>
      <x:c r="K70" s="32" t="n">
        <x:v>4.3</x:v>
      </x:c>
      <x:c r="L70" s="34" t="n">
        <x:v>213</x:v>
      </x:c>
      <x:c r="M70" s="30" t="str">
        <x:v>Approx. 09:00-16:00 in ski season</x:v>
      </x:c>
      <x:c r="N70" s="30" t="str">
        <x:v>High</x:v>
      </x:c>
      <x:c r="O70" s="30" t="str">
        <x:v>Bsharri Municipality + current local-business listing</x:v>
      </x:c>
      <x:c r="P70" s="30" t="str">
        <x:v>https://website.bcharri.net/places/lebanon/north-lebanon/bcharri/attractions/?lang=en</x:v>
      </x:c>
      <x:c r="Q70" s="30" t="str">
        <x:v>https://www.google.com/maps/search/?api=1&amp;query=Cedars+Bsharri+Ski+Resort+%2F+Teleski+des+Cedres%2C+Al+Arz+%2F+Bsharri%2C+Lebanon</x:v>
      </x:c>
      <x:c r="R70" s="30" t="str"/>
      <x:c r="S70" s="30" t="str">
        <x:v>2026-09-08</x:v>
      </x:c>
    </x:row>
    <x:row r="71">
      <x:c r="A71" s="30" t="n">
        <x:v>70</x:v>
      </x:c>
      <x:c r="B71" s="30" t="str">
        <x:v>Bsharri</x:v>
      </x:c>
      <x:c r="C71" s="30" t="str">
        <x:v>Bsharri</x:v>
      </x:c>
      <x:c r="D71" s="30" t="str">
        <x:v>La Jetée</x:v>
      </x:c>
      <x:c r="E71" s="30" t="str">
        <x:v>Scenic / Viewpoint</x:v>
      </x:c>
      <x:c r="F71" s="30" t="str">
        <x:v>Panoramic viewpoint over Wadi Qadisha, photography</x:v>
      </x:c>
      <x:c r="G71" s="30" t="str">
        <x:v>Active - verified</x:v>
      </x:c>
      <x:c r="H71" s="30" t="str">
        <x:v>Current / Active</x:v>
      </x:c>
      <x:c r="I71" s="30" t="str">
        <x:v>62VQ+25J, Bsharri</x:v>
      </x:c>
      <x:c r="J71" s="30" t="str"/>
      <x:c r="K71" s="32" t="n">
        <x:v>4.8</x:v>
      </x:c>
      <x:c r="L71" s="34" t="n">
        <x:v>157</x:v>
      </x:c>
      <x:c r="M71" s="30" t="str"/>
      <x:c r="N71" s="30" t="str">
        <x:v>High</x:v>
      </x:c>
      <x:c r="O71" s="30" t="str">
        <x:v>Current local-business listing</x:v>
      </x:c>
      <x:c r="P71" s="30" t="str">
        <x:v>https://www.google.com/maps/search/?api=1&amp;query=La+Jet%C3%A9e%2C+Bsharri%2C+Lebanon</x:v>
      </x:c>
      <x:c r="Q71" s="30" t="str">
        <x:v>https://www.google.com/maps/search/?api=1&amp;query=La+Jet%C3%A9e%2C+Bsharri%2C+Lebanon</x:v>
      </x:c>
      <x:c r="R71" s="30" t="str"/>
      <x:c r="S71" s="30" t="str">
        <x:v>2026-09-08</x:v>
      </x:c>
    </x:row>
    <x:row r="72">
      <x:c r="A72" s="30" t="n">
        <x:v>71</x:v>
      </x:c>
      <x:c r="B72" s="30" t="str">
        <x:v>Bsharri</x:v>
      </x:c>
      <x:c r="C72" s="30" t="str">
        <x:v>Bsharri</x:v>
      </x:c>
      <x:c r="D72" s="30" t="str">
        <x:v>Monastery of Mar Lishaa</x:v>
      </x:c>
      <x:c r="E72" s="30" t="str">
        <x:v>Heritage / Religious</x:v>
      </x:c>
      <x:c r="F72" s="30" t="str">
        <x:v>Monastery visit and Qadisha spiritual heritage</x:v>
      </x:c>
      <x:c r="G72" s="30" t="str">
        <x:v>Active - verified</x:v>
      </x:c>
      <x:c r="H72" s="30" t="str">
        <x:v>Current / Active</x:v>
      </x:c>
      <x:c r="I72" s="30" t="str">
        <x:v>62V3+MMP, Bsharri</x:v>
      </x:c>
      <x:c r="J72" s="30" t="str"/>
      <x:c r="K72" s="32" t="n">
        <x:v>4.9</x:v>
      </x:c>
      <x:c r="L72" s="34" t="n">
        <x:v>273</x:v>
      </x:c>
      <x:c r="M72" s="30" t="str"/>
      <x:c r="N72" s="30" t="str">
        <x:v>High</x:v>
      </x:c>
      <x:c r="O72" s="30" t="str">
        <x:v>Current local-business listing + UNESCO Qadisha context</x:v>
      </x:c>
      <x:c r="P72" s="30" t="str">
        <x:v>https://whc.unesco.org/en/list/850</x:v>
      </x:c>
      <x:c r="Q72" s="30" t="str">
        <x:v>https://www.google.com/maps/search/?api=1&amp;query=Monastery+of+Mar+Lishaa%2C+Bsharri%2C+Lebanon</x:v>
      </x:c>
      <x:c r="R72" s="30" t="str"/>
      <x:c r="S72" s="30" t="str">
        <x:v>2026-09-08</x:v>
      </x:c>
    </x:row>
    <x:row r="73">
      <x:c r="A73" s="30" t="n">
        <x:v>72</x:v>
      </x:c>
      <x:c r="B73" s="30" t="str">
        <x:v>Bsharri</x:v>
      </x:c>
      <x:c r="C73" s="30" t="str">
        <x:v>Qannoubine Valley</x:v>
      </x:c>
      <x:c r="D73" s="30" t="str">
        <x:v>Our Lady of Qannoubine Monastery</x:v>
      </x:c>
      <x:c r="E73" s="30" t="str">
        <x:v>Heritage / Religious</x:v>
      </x:c>
      <x:c r="F73" s="30" t="str">
        <x:v>Historic monastery visit during valley hike</x:v>
      </x:c>
      <x:c r="G73" s="30" t="str">
        <x:v>Timeless / verify access</x:v>
      </x:c>
      <x:c r="H73" s="30" t="str">
        <x:v>Seasonal / Verify</x:v>
      </x:c>
      <x:c r="I73" s="30" t="str">
        <x:v>Qannoubine / Qadisha Valley</x:v>
      </x:c>
      <x:c r="J73" s="30" t="str"/>
      <x:c r="K73" s="32"/>
      <x:c r="L73" s="34"/>
      <x:c r="M73" s="30" t="str"/>
      <x:c r="N73" s="30" t="str">
        <x:v>High</x:v>
      </x:c>
      <x:c r="O73" s="30" t="str">
        <x:v>UNESCO World Heritage Centre + Discover Lebanon</x:v>
      </x:c>
      <x:c r="P73" s="30" t="str">
        <x:v>https://www.discoverlebanon.com/en/panoramic_views/north/bcharreh/hermitage-of-hoca.php</x:v>
      </x:c>
      <x:c r="Q73" s="30" t="str">
        <x:v>https://www.google.com/maps/search/?api=1&amp;query=Our+Lady+of+Qannoubine+Monastery%2C+Qannoubine+Valley%2C+Lebanon</x:v>
      </x:c>
      <x:c r="R73" s="30" t="str"/>
      <x:c r="S73" s="30" t="str">
        <x:v>2026-09-08</x:v>
      </x:c>
    </x:row>
    <x:row r="74">
      <x:c r="A74" s="30" t="n">
        <x:v>73</x:v>
      </x:c>
      <x:c r="B74" s="30" t="str">
        <x:v>Bsharri</x:v>
      </x:c>
      <x:c r="C74" s="30" t="str">
        <x:v>Bsharri / Qadisha</x:v>
      </x:c>
      <x:c r="D74" s="30" t="str">
        <x:v>Haouqa-Qadisha Hiking Trail</x:v>
      </x:c>
      <x:c r="E74" s="30" t="str">
        <x:v>Nature / Hiking</x:v>
      </x:c>
      <x:c r="F74" s="30" t="str">
        <x:v>Moderate hiking/walking through the sacred valley</x:v>
      </x:c>
      <x:c r="G74" s="30" t="str">
        <x:v>Trail - verify current conditions</x:v>
      </x:c>
      <x:c r="H74" s="30" t="str">
        <x:v>Seasonal / Verify</x:v>
      </x:c>
      <x:c r="I74" s="30" t="str">
        <x:v>Bsharri / Qadisha</x:v>
      </x:c>
      <x:c r="J74" s="30" t="str"/>
      <x:c r="K74" s="32"/>
      <x:c r="L74" s="34"/>
      <x:c r="M74" s="30" t="str">
        <x:v>Approx. 11.7 km route per trail source</x:v>
      </x:c>
      <x:c r="N74" s="30" t="str">
        <x:v>Medium</x:v>
      </x:c>
      <x:c r="O74" s="30" t="str">
        <x:v>Lebanon Tourism Guide trail listing</x:v>
      </x:c>
      <x:c r="P74" s="30" t="str">
        <x:v>https://tourism-lebanon.com/listing/haouqa-qadisha-the-sacred-valley-hiking-trail/</x:v>
      </x:c>
      <x:c r="Q74" s="30" t="str">
        <x:v>https://www.google.com/maps/search/?api=1&amp;query=Haouqa-Qadisha+Hiking+Trail%2C+Bsharri+%2F+Qadisha%2C+Lebanon</x:v>
      </x:c>
      <x:c r="R74" s="30" t="str"/>
      <x:c r="S74" s="30" t="str">
        <x:v>2026-09-08</x:v>
      </x:c>
    </x:row>
    <x:row r="75">
      <x:c r="A75" s="30" t="n">
        <x:v>74</x:v>
      </x:c>
      <x:c r="B75" s="30" t="str">
        <x:v>Bsharri</x:v>
      </x:c>
      <x:c r="C75" s="30" t="str">
        <x:v>Bsharri</x:v>
      </x:c>
      <x:c r="D75" s="30" t="str">
        <x:v>Shire el Aren</x:v>
      </x:c>
      <x:c r="E75" s="30" t="str">
        <x:v>Nature / Hiking</x:v>
      </x:c>
      <x:c r="F75" s="30" t="str">
        <x:v>Hiking</x:v>
      </x:c>
      <x:c r="G75" s="30" t="str">
        <x:v>Active listing</x:v>
      </x:c>
      <x:c r="H75" s="30" t="str">
        <x:v>Current / Active</x:v>
      </x:c>
      <x:c r="I75" s="30" t="str">
        <x:v>62PH+75C, Bsharri</x:v>
      </x:c>
      <x:c r="J75" s="30" t="str"/>
      <x:c r="K75" s="32" t="n">
        <x:v>4.3</x:v>
      </x:c>
      <x:c r="L75" s="34" t="n">
        <x:v>3</x:v>
      </x:c>
      <x:c r="M75" s="30" t="str"/>
      <x:c r="N75" s="30" t="str">
        <x:v>Medium</x:v>
      </x:c>
      <x:c r="O75" s="30" t="str">
        <x:v>Current local-business listing</x:v>
      </x:c>
      <x:c r="P75" s="30" t="str">
        <x:v>https://www.google.com/maps/search/?api=1&amp;query=Shire+el+Aren%2C+Bsharri%2C+Lebanon</x:v>
      </x:c>
      <x:c r="Q75" s="30" t="str">
        <x:v>https://www.google.com/maps/search/?api=1&amp;query=Shire+el+Aren%2C+Bsharri%2C+Lebanon</x:v>
      </x:c>
      <x:c r="R75" s="30" t="str"/>
      <x:c r="S75" s="30" t="str">
        <x:v>2026-09-08</x:v>
      </x:c>
    </x:row>
    <x:row r="76">
      <x:c r="A76" s="30" t="n">
        <x:v>75</x:v>
      </x:c>
      <x:c r="B76" s="30" t="str">
        <x:v>Akkar</x:v>
      </x:c>
      <x:c r="C76" s="30" t="str">
        <x:v>Fnaideq / Qammouaa</x:v>
      </x:c>
      <x:c r="D76" s="30" t="str">
        <x:v>El Qammouaa</x:v>
      </x:c>
      <x:c r="E76" s="30" t="str">
        <x:v>Nature / Hiking</x:v>
      </x:c>
      <x:c r="F76" s="30" t="str">
        <x:v>Mountain hiking, forest walks, picnics, photography and birdwatching</x:v>
      </x:c>
      <x:c r="G76" s="30" t="str">
        <x:v>Active natural area</x:v>
      </x:c>
      <x:c r="H76" s="30" t="str">
        <x:v>Current / Active</x:v>
      </x:c>
      <x:c r="I76" s="30" t="str">
        <x:v>Qammouaa, Akkar</x:v>
      </x:c>
      <x:c r="J76" s="30" t="str"/>
      <x:c r="K76" s="32" t="n">
        <x:v>4.9</x:v>
      </x:c>
      <x:c r="L76" s="34" t="n">
        <x:v>13</x:v>
      </x:c>
      <x:c r="M76" s="30" t="str"/>
      <x:c r="N76" s="30" t="str">
        <x:v>High</x:v>
      </x:c>
      <x:c r="O76" s="30" t="str">
        <x:v>Current local-business listing + current 2026 Akkar travel reporting</x:v>
      </x:c>
      <x:c r="P76" s="30" t="str">
        <x:v>https://waradana.com/english/article/269784-discover-akkar-5-mustsee-places-and-activities</x:v>
      </x:c>
      <x:c r="Q76" s="30" t="str">
        <x:v>https://www.google.com/maps/search/?api=1&amp;query=El+Qammouaa%2C+Fnaideq+%2F+Qammouaa%2C+Lebanon</x:v>
      </x:c>
      <x:c r="R76" s="30" t="str"/>
      <x:c r="S76" s="30" t="str">
        <x:v>2026-09-08</x:v>
      </x:c>
    </x:row>
    <x:row r="77">
      <x:c r="A77" s="30" t="n">
        <x:v>76</x:v>
      </x:c>
      <x:c r="B77" s="30" t="str">
        <x:v>Akkar</x:v>
      </x:c>
      <x:c r="C77" s="30" t="str">
        <x:v>Fnaideq</x:v>
      </x:c>
      <x:c r="D77" s="30" t="str">
        <x:v>Ghabet El Aazr</x:v>
      </x:c>
      <x:c r="E77" s="30" t="str">
        <x:v>Nature / Hiking</x:v>
      </x:c>
      <x:c r="F77" s="30" t="str">
        <x:v>Forest walks, autumn scenery and nature photography</x:v>
      </x:c>
      <x:c r="G77" s="30" t="str">
        <x:v>Active - verified</x:v>
      </x:c>
      <x:c r="H77" s="30" t="str">
        <x:v>Current / Active</x:v>
      </x:c>
      <x:c r="I77" s="30" t="str">
        <x:v>F6F5+4H8, Fnaideq</x:v>
      </x:c>
      <x:c r="J77" s="30" t="str"/>
      <x:c r="K77" s="32" t="n">
        <x:v>4.8</x:v>
      </x:c>
      <x:c r="L77" s="34" t="n">
        <x:v>96</x:v>
      </x:c>
      <x:c r="M77" s="30" t="str"/>
      <x:c r="N77" s="30" t="str">
        <x:v>High</x:v>
      </x:c>
      <x:c r="O77" s="30" t="str">
        <x:v>Current local-business listing</x:v>
      </x:c>
      <x:c r="P77" s="30" t="str">
        <x:v>https://www.google.com/maps/search/?api=1&amp;query=Ghabet+El+Aazr%2C+Fnaideq%2C+Lebanon</x:v>
      </x:c>
      <x:c r="Q77" s="30" t="str">
        <x:v>https://www.google.com/maps/search/?api=1&amp;query=Ghabet+El+Aazr%2C+Fnaideq%2C+Lebanon</x:v>
      </x:c>
      <x:c r="R77" s="30" t="str"/>
      <x:c r="S77" s="30" t="str">
        <x:v>2026-09-08</x:v>
      </x:c>
    </x:row>
    <x:row r="78">
      <x:c r="A78" s="30" t="n">
        <x:v>77</x:v>
      </x:c>
      <x:c r="B78" s="30" t="str">
        <x:v>Akkar</x:v>
      </x:c>
      <x:c r="C78" s="30" t="str">
        <x:v>Qoubaiyat / Karm Chbat</x:v>
      </x:c>
      <x:c r="D78" s="30" t="str">
        <x:v>Karm Chbat Nature Reserve</x:v>
      </x:c>
      <x:c r="E78" s="30" t="str">
        <x:v>Nature / Hiking</x:v>
      </x:c>
      <x:c r="F78" s="30" t="str">
        <x:v>Forest hiking, biodiversity observation and ecotourism</x:v>
      </x:c>
      <x:c r="G78" s="30" t="str">
        <x:v>Protected area / verify access</x:v>
      </x:c>
      <x:c r="H78" s="30" t="str">
        <x:v>Seasonal / Verify</x:v>
      </x:c>
      <x:c r="I78" s="30" t="str">
        <x:v>Heights of Qoubaiyat, Akkar</x:v>
      </x:c>
      <x:c r="J78" s="30" t="str"/>
      <x:c r="K78" s="32"/>
      <x:c r="L78" s="34"/>
      <x:c r="M78" s="30" t="str"/>
      <x:c r="N78" s="30" t="str">
        <x:v>High</x:v>
      </x:c>
      <x:c r="O78" s="30" t="str">
        <x:v>UNDP STEP4Nature</x:v>
      </x:c>
      <x:c r="P78" s="30" t="str">
        <x:v>https://www.undp.org/lebanon/projects/stepping-nature-reserves-capacity-step4nature-0</x:v>
      </x:c>
      <x:c r="Q78" s="30" t="str">
        <x:v>https://www.google.com/maps/search/?api=1&amp;query=Karm+Chbat+Nature+Reserve%2C+Qoubaiyat+%2F+Karm+Chbat%2C+Lebanon</x:v>
      </x:c>
      <x:c r="R78" s="30" t="str"/>
      <x:c r="S78" s="30" t="str">
        <x:v>2026-09-08</x:v>
      </x:c>
    </x:row>
    <x:row r="79">
      <x:c r="A79" s="30" t="n">
        <x:v>78</x:v>
      </x:c>
      <x:c r="B79" s="30" t="str">
        <x:v>Akkar</x:v>
      </x:c>
      <x:c r="C79" s="30" t="str">
        <x:v>Qoubaiyat</x:v>
      </x:c>
      <x:c r="D79" s="30" t="str">
        <x:v>Scientific Museum for Birds, Butterflies &amp; Animals</x:v>
      </x:c>
      <x:c r="E79" s="30" t="str">
        <x:v>Museum / Education</x:v>
      </x:c>
      <x:c r="F79" s="30" t="str">
        <x:v>Natural-history museum with bird, animal and butterfly collections</x:v>
      </x:c>
      <x:c r="G79" s="30" t="str">
        <x:v>Active - verified</x:v>
      </x:c>
      <x:c r="H79" s="30" t="str">
        <x:v>Current / Active</x:v>
      </x:c>
      <x:c r="I79" s="30" t="str">
        <x:v>Qoubaiyat</x:v>
      </x:c>
      <x:c r="J79" s="30" t="str">
        <x:v>+961 79 315 123</x:v>
      </x:c>
      <x:c r="K79" s="32" t="n">
        <x:v>4.6</x:v>
      </x:c>
      <x:c r="L79" s="34" t="n">
        <x:v>93</x:v>
      </x:c>
      <x:c r="M79" s="30" t="str">
        <x:v>09:00-17:00 daily on current listing</x:v>
      </x:c>
      <x:c r="N79" s="30" t="str">
        <x:v>High</x:v>
      </x:c>
      <x:c r="O79" s="30" t="str">
        <x:v>Current local-business listing + Lebanese Army article</x:v>
      </x:c>
      <x:c r="P79" s="30" t="str">
        <x:v>https://www.lebarmy.gov.lb/ar/content/%D8%A7%D9%84%D9%85%D8%AA%D8%AD%D9%81-%D8%A7%D9%84%D8%B9%D9%84%D9%85%D9%8A-%D9%84%D9%84%D8%B7%D9%8A%D9%88%D8%B1-%D9%88%D8%A7%D9%84%D9%81%D8%B1%D8%A7%D8%B4%D8%A7%D8%AA</x:v>
      </x:c>
      <x:c r="Q79" s="30" t="str">
        <x:v>https://www.google.com/maps/search/?api=1&amp;query=Scientific+Museum+for+Birds%2C+Butterflies+%26+Animals%2C+Qoubaiyat%2C+Lebanon</x:v>
      </x:c>
      <x:c r="R79" s="30" t="str"/>
      <x:c r="S79" s="30" t="str">
        <x:v>2026-09-08</x:v>
      </x:c>
    </x:row>
    <x:row r="80">
      <x:c r="A80" s="30" t="n">
        <x:v>79</x:v>
      </x:c>
      <x:c r="B80" s="30" t="str">
        <x:v>Akkar</x:v>
      </x:c>
      <x:c r="C80" s="30" t="str">
        <x:v>Qoubaiyat</x:v>
      </x:c>
      <x:c r="D80" s="30" t="str">
        <x:v>Mar Doumit Carmelite Monastery</x:v>
      </x:c>
      <x:c r="E80" s="30" t="str">
        <x:v>Heritage / Religious</x:v>
      </x:c>
      <x:c r="F80" s="30" t="str">
        <x:v>Historic monastery architecture; combine with the scientific museum</x:v>
      </x:c>
      <x:c r="G80" s="30" t="str">
        <x:v>Timeless / verify access</x:v>
      </x:c>
      <x:c r="H80" s="30" t="str">
        <x:v>Seasonal / Verify</x:v>
      </x:c>
      <x:c r="I80" s="30" t="str">
        <x:v>Qoubaiyat</x:v>
      </x:c>
      <x:c r="J80" s="30" t="str"/>
      <x:c r="K80" s="32"/>
      <x:c r="L80" s="34"/>
      <x:c r="M80" s="30" t="str"/>
      <x:c r="N80" s="30" t="str">
        <x:v>High</x:v>
      </x:c>
      <x:c r="O80" s="30" t="str">
        <x:v>Lebanese Army museum-history source</x:v>
      </x:c>
      <x:c r="P80" s="30" t="str">
        <x:v>https://www.lebarmy.gov.lb/ar/content/%D8%A7%D9%84%D9%85%D8%AA%D8%AD%D9%81-%D8%A7%D9%84%D8%B9%D9%84%D9%85%D9%8A-%D9%84%D9%84%D8%B7%D9%8A%D9%88%D8%B1-%D9%88%D8%A7%D9%84%D9%81%D8%B1%D8%A7%D8%B4%D8%A7%D8%AA</x:v>
      </x:c>
      <x:c r="Q80" s="30" t="str">
        <x:v>https://www.google.com/maps/search/?api=1&amp;query=Mar+Doumit+Carmelite+Monastery%2C+Qoubaiyat%2C+Lebanon</x:v>
      </x:c>
      <x:c r="R80" s="30" t="str"/>
      <x:c r="S80" s="30" t="str">
        <x:v>2026-09-08</x:v>
      </x:c>
    </x:row>
    <x:row r="81">
      <x:c r="A81" s="30" t="n">
        <x:v>80</x:v>
      </x:c>
      <x:c r="B81" s="30" t="str">
        <x:v>Akkar</x:v>
      </x:c>
      <x:c r="C81" s="30" t="str">
        <x:v>Qoubaiyat</x:v>
      </x:c>
      <x:c r="D81" s="30" t="str">
        <x:v>Balloot Campsite</x:v>
      </x:c>
      <x:c r="E81" s="30" t="str">
        <x:v>Camping / Outdoor</x:v>
      </x:c>
      <x:c r="F81" s="30" t="str">
        <x:v>Camping and forest stay</x:v>
      </x:c>
      <x:c r="G81" s="30" t="str">
        <x:v>Active - verified</x:v>
      </x:c>
      <x:c r="H81" s="30" t="str">
        <x:v>Current / Active</x:v>
      </x:c>
      <x:c r="I81" s="30" t="str">
        <x:v>Helesben Park, Qoubaiyat</x:v>
      </x:c>
      <x:c r="J81" s="30" t="str">
        <x:v>+961 76 146 929</x:v>
      </x:c>
      <x:c r="K81" s="32" t="n">
        <x:v>5</x:v>
      </x:c>
      <x:c r="L81" s="34" t="n">
        <x:v>17</x:v>
      </x:c>
      <x:c r="M81" s="30" t="str"/>
      <x:c r="N81" s="30" t="str">
        <x:v>High</x:v>
      </x:c>
      <x:c r="O81" s="30" t="str">
        <x:v>Current local-business listing</x:v>
      </x:c>
      <x:c r="P81" s="30" t="str">
        <x:v>https://www.google.com/maps/search/?api=1&amp;query=Balloot+Campsite%2C+Qoubaiyat%2C+Lebanon</x:v>
      </x:c>
      <x:c r="Q81" s="30" t="str">
        <x:v>https://www.google.com/maps/search/?api=1&amp;query=Balloot+Campsite%2C+Qoubaiyat%2C+Lebanon</x:v>
      </x:c>
      <x:c r="R81" s="30" t="str"/>
      <x:c r="S81" s="30" t="str">
        <x:v>2026-09-08</x:v>
      </x:c>
    </x:row>
    <x:row r="82">
      <x:c r="A82" s="30" t="n">
        <x:v>81</x:v>
      </x:c>
      <x:c r="B82" s="30" t="str">
        <x:v>Akkar</x:v>
      </x:c>
      <x:c r="C82" s="30" t="str">
        <x:v>Qoubaiyat</x:v>
      </x:c>
      <x:c r="D82" s="30" t="str">
        <x:v>Graneroverde</x:v>
      </x:c>
      <x:c r="E82" s="30" t="str">
        <x:v>Camping / Outdoor</x:v>
      </x:c>
      <x:c r="F82" s="30" t="str">
        <x:v>Mountain stay, nature getaway and base for hiking</x:v>
      </x:c>
      <x:c r="G82" s="30" t="str">
        <x:v>Active - verified</x:v>
      </x:c>
      <x:c r="H82" s="30" t="str">
        <x:v>Current / Active</x:v>
      </x:c>
      <x:c r="I82" s="30" t="str">
        <x:v>Qoubaiyat</x:v>
      </x:c>
      <x:c r="J82" s="30" t="str">
        <x:v>+961 70 473 347</x:v>
      </x:c>
      <x:c r="K82" s="32" t="n">
        <x:v>4.3</x:v>
      </x:c>
      <x:c r="L82" s="34" t="n">
        <x:v>202</x:v>
      </x:c>
      <x:c r="M82" s="30" t="str"/>
      <x:c r="N82" s="30" t="str">
        <x:v>High</x:v>
      </x:c>
      <x:c r="O82" s="30" t="str">
        <x:v>Current local-business listing + 2026 Akkar hike event</x:v>
      </x:c>
      <x:c r="P82" s="30" t="str">
        <x:v>https://lebanonspotlights.com/events/akkar-2-day-hike/</x:v>
      </x:c>
      <x:c r="Q82" s="30" t="str">
        <x:v>https://www.google.com/maps/search/?api=1&amp;query=Graneroverde%2C+Qoubaiyat%2C+Lebanon</x:v>
      </x:c>
      <x:c r="R82" s="30" t="str"/>
      <x:c r="S82" s="30" t="str">
        <x:v>2026-09-08</x:v>
      </x:c>
    </x:row>
    <x:row r="83">
      <x:c r="A83" s="30" t="n">
        <x:v>82</x:v>
      </x:c>
      <x:c r="B83" s="30" t="str">
        <x:v>Akkar</x:v>
      </x:c>
      <x:c r="C83" s="30" t="str">
        <x:v>Qoubaiyat</x:v>
      </x:c>
      <x:c r="D83" s="30" t="str">
        <x:v>Horizon Pines</x:v>
      </x:c>
      <x:c r="E83" s="30" t="str">
        <x:v>Camping / Outdoor</x:v>
      </x:c>
      <x:c r="F83" s="30" t="str">
        <x:v>Camping and short forest walks; hiking base</x:v>
      </x:c>
      <x:c r="G83" s="30" t="str">
        <x:v>Active - verified</x:v>
      </x:c>
      <x:c r="H83" s="30" t="str">
        <x:v>Current / Active</x:v>
      </x:c>
      <x:c r="I83" s="30" t="str">
        <x:v>Mar Gerges Chwita, Qoubaiyat</x:v>
      </x:c>
      <x:c r="J83" s="30" t="str">
        <x:v>+961 79 436 636</x:v>
      </x:c>
      <x:c r="K83" s="32" t="n">
        <x:v>5</x:v>
      </x:c>
      <x:c r="L83" s="34" t="n">
        <x:v>65</x:v>
      </x:c>
      <x:c r="M83" s="30" t="str"/>
      <x:c r="N83" s="30" t="str">
        <x:v>High</x:v>
      </x:c>
      <x:c r="O83" s="30" t="str">
        <x:v>Current local-business listing + current hiking guide</x:v>
      </x:c>
      <x:c r="P83" s="30" t="str">
        <x:v>https://horizonpines.com/blog/hiking-kobayat-akkar-lebanon/</x:v>
      </x:c>
      <x:c r="Q83" s="30" t="str">
        <x:v>https://www.google.com/maps/search/?api=1&amp;query=Horizon+Pines%2C+Qoubaiyat%2C+Lebanon</x:v>
      </x:c>
      <x:c r="R83" s="30" t="str"/>
      <x:c r="S83" s="30" t="str">
        <x:v>2026-09-08</x:v>
      </x:c>
    </x:row>
    <x:row r="84">
      <x:c r="A84" s="30" t="n">
        <x:v>83</x:v>
      </x:c>
      <x:c r="B84" s="30" t="str">
        <x:v>Akkar</x:v>
      </x:c>
      <x:c r="C84" s="30" t="str">
        <x:v>Qoubaiyat / Aandqet</x:v>
      </x:c>
      <x:c r="D84" s="30" t="str">
        <x:v>Qoubaiyat-Aandqet Hiking Area</x:v>
      </x:c>
      <x:c r="E84" s="30" t="str">
        <x:v>Nature / Hiking</x:v>
      </x:c>
      <x:c r="F84" s="30" t="str">
        <x:v>Village and forest hiking; multi-day mountain routes</x:v>
      </x:c>
      <x:c r="G84" s="30" t="str">
        <x:v>Active trail activity</x:v>
      </x:c>
      <x:c r="H84" s="30" t="str">
        <x:v>Seasonal / Verify</x:v>
      </x:c>
      <x:c r="I84" s="30" t="str">
        <x:v>Qoubaiyat-Aandqet, Akkar</x:v>
      </x:c>
      <x:c r="J84" s="30" t="str"/>
      <x:c r="K84" s="32"/>
      <x:c r="L84" s="34"/>
      <x:c r="M84" s="30" t="str"/>
      <x:c r="N84" s="30" t="str">
        <x:v>High</x:v>
      </x:c>
      <x:c r="O84" s="30" t="str">
        <x:v>2026 organized-hike evidence</x:v>
      </x:c>
      <x:c r="P84" s="30" t="str">
        <x:v>https://lebanonspotlights.com/events/akkar-2-day-hike/</x:v>
      </x:c>
      <x:c r="Q84" s="30" t="str">
        <x:v>https://www.google.com/maps/search/?api=1&amp;query=Qoubaiyat-Aandqet+Hiking+Area%2C+Qoubaiyat+%2F+Aandqet%2C+Lebanon</x:v>
      </x:c>
      <x:c r="R84" s="30" t="str"/>
      <x:c r="S84" s="30" t="str">
        <x:v>2026-09-08</x:v>
      </x:c>
    </x:row>
    <x:row r="85">
      <x:c r="A85" s="30" t="n">
        <x:v>84</x:v>
      </x:c>
      <x:c r="B85" s="30" t="str">
        <x:v>Akkar</x:v>
      </x:c>
      <x:c r="C85" s="30" t="str">
        <x:v>Aandqet</x:v>
      </x:c>
      <x:c r="D85" s="30" t="str">
        <x:v>Heaven</x:v>
      </x:c>
      <x:c r="E85" s="30" t="str">
        <x:v>Nature / Hiking</x:v>
      </x:c>
      <x:c r="F85" s="30" t="str">
        <x:v>Hiking and nature walk</x:v>
      </x:c>
      <x:c r="G85" s="30" t="str">
        <x:v>Active listing</x:v>
      </x:c>
      <x:c r="H85" s="30" t="str">
        <x:v>Current / Active</x:v>
      </x:c>
      <x:c r="I85" s="30" t="str">
        <x:v>G8M4+H7R, Aandqet</x:v>
      </x:c>
      <x:c r="J85" s="30" t="str"/>
      <x:c r="K85" s="32"/>
      <x:c r="L85" s="34"/>
      <x:c r="M85" s="30" t="str"/>
      <x:c r="N85" s="30" t="str">
        <x:v>Medium</x:v>
      </x:c>
      <x:c r="O85" s="30" t="str">
        <x:v>Current local-business listing</x:v>
      </x:c>
      <x:c r="P85" s="30" t="str">
        <x:v>https://www.google.com/maps/search/?api=1&amp;query=Heaven%2C+Aandqet%2C+Lebanon</x:v>
      </x:c>
      <x:c r="Q85" s="30" t="str">
        <x:v>https://www.google.com/maps/search/?api=1&amp;query=Heaven%2C+Aandqet%2C+Lebanon</x:v>
      </x:c>
      <x:c r="R85" s="30" t="str"/>
      <x:c r="S85" s="30" t="str">
        <x:v>2026-09-08</x:v>
      </x:c>
    </x:row>
    <x:row r="86">
      <x:c r="A86" s="30" t="n">
        <x:v>85</x:v>
      </x:c>
      <x:c r="B86" s="30" t="str">
        <x:v>Akkar</x:v>
      </x:c>
      <x:c r="C86" s="30" t="str">
        <x:v>Menjez</x:v>
      </x:c>
      <x:c r="D86" s="30" t="str">
        <x:v>Menjez Heritage House</x:v>
      </x:c>
      <x:c r="E86" s="30" t="str">
        <x:v>Museum / Heritage</x:v>
      </x:c>
      <x:c r="F86" s="30" t="str">
        <x:v>Archaeology museum, prehistoric exhibition and educational visit</x:v>
      </x:c>
      <x:c r="G86" s="30" t="str">
        <x:v>Active - verified</x:v>
      </x:c>
      <x:c r="H86" s="30" t="str">
        <x:v>Current / Active</x:v>
      </x:c>
      <x:c r="I86" s="30" t="str">
        <x:v>Menjez</x:v>
      </x:c>
      <x:c r="J86" s="30" t="str">
        <x:v>+961 76 658 606</x:v>
      </x:c>
      <x:c r="K86" s="32" t="n">
        <x:v>4.9</x:v>
      </x:c>
      <x:c r="L86" s="34" t="n">
        <x:v>14</x:v>
      </x:c>
      <x:c r="M86" s="30" t="str">
        <x:v>Sat-Sun 10:00-18:00 Apr-Oct; broader school-vacation opening; year-round by reservation</x:v>
      </x:c>
      <x:c r="N86" s="30" t="str">
        <x:v>High</x:v>
      </x:c>
      <x:c r="O86" s="30" t="str">
        <x:v>Official Menjez Heritage site + current local-business listing</x:v>
      </x:c>
      <x:c r="P86" s="30" t="str">
        <x:v>https://www.menjez-heritage.com/</x:v>
      </x:c>
      <x:c r="Q86" s="30" t="str">
        <x:v>https://www.google.com/maps/search/?api=1&amp;query=Menjez+Heritage+House%2C+Menjez%2C+Lebanon</x:v>
      </x:c>
      <x:c r="R86" s="30" t="str"/>
      <x:c r="S86" s="30" t="str">
        <x:v>2026-09-08</x:v>
      </x:c>
    </x:row>
    <x:row r="87">
      <x:c r="A87" s="30" t="n">
        <x:v>86</x:v>
      </x:c>
      <x:c r="B87" s="30" t="str">
        <x:v>Akkar</x:v>
      </x:c>
      <x:c r="C87" s="30" t="str">
        <x:v>Menjez</x:v>
      </x:c>
      <x:c r="D87" s="30" t="str">
        <x:v>Menjez Dolmen Discovery Trail</x:v>
      </x:c>
      <x:c r="E87" s="30" t="str">
        <x:v>Heritage / Hiking</x:v>
      </x:c>
      <x:c r="F87" s="30" t="str">
        <x:v>Walk a circuit of 11 megalithic monuments; self-guided or guided</x:v>
      </x:c>
      <x:c r="G87" s="30" t="str">
        <x:v>Active - verified</x:v>
      </x:c>
      <x:c r="H87" s="30" t="str">
        <x:v>Current / Active</x:v>
      </x:c>
      <x:c r="I87" s="30" t="str">
        <x:v>Menjez</x:v>
      </x:c>
      <x:c r="J87" s="30" t="str">
        <x:v>+961 76 658 606</x:v>
      </x:c>
      <x:c r="K87" s="32"/>
      <x:c r="L87" s="34"/>
      <x:c r="M87" s="30" t="str">
        <x:v>Trail accessible year-round 24/7 per official site</x:v>
      </x:c>
      <x:c r="N87" s="30" t="str">
        <x:v>High</x:v>
      </x:c>
      <x:c r="O87" s="30" t="str">
        <x:v>Official Menjez Heritage site</x:v>
      </x:c>
      <x:c r="P87" s="30" t="str">
        <x:v>https://www.menjez-heritage.com/</x:v>
      </x:c>
      <x:c r="Q87" s="30" t="str">
        <x:v>https://www.google.com/maps/search/?api=1&amp;query=Menjez+Dolmen+Discovery+Trail%2C+Menjez%2C+Lebanon</x:v>
      </x:c>
      <x:c r="R87" s="30" t="str"/>
      <x:c r="S87" s="30" t="str">
        <x:v>2026-09-08</x:v>
      </x:c>
    </x:row>
    <x:row r="88">
      <x:c r="A88" s="30" t="n">
        <x:v>87</x:v>
      </x:c>
      <x:c r="B88" s="30" t="str">
        <x:v>Akkar</x:v>
      </x:c>
      <x:c r="C88" s="30" t="str">
        <x:v>Menjez</x:v>
      </x:c>
      <x:c r="D88" s="30" t="str">
        <x:v>Maqam el-Rabb / Roman Temple Site</x:v>
      </x:c>
      <x:c r="E88" s="30" t="str">
        <x:v>Heritage / Archaeology</x:v>
      </x:c>
      <x:c r="F88" s="30" t="str">
        <x:v>Archaeological sightseeing</x:v>
      </x:c>
      <x:c r="G88" s="30" t="str">
        <x:v>Timeless / verify access</x:v>
      </x:c>
      <x:c r="H88" s="30" t="str">
        <x:v>Seasonal / Verify</x:v>
      </x:c>
      <x:c r="I88" s="30" t="str">
        <x:v>Menjez</x:v>
      </x:c>
      <x:c r="J88" s="30" t="str"/>
      <x:c r="K88" s="32"/>
      <x:c r="L88" s="34"/>
      <x:c r="M88" s="30" t="str"/>
      <x:c r="N88" s="30" t="str">
        <x:v>High</x:v>
      </x:c>
      <x:c r="O88" s="30" t="str">
        <x:v>UNESCO Tentative List / Menjez heritage context</x:v>
      </x:c>
      <x:c r="P88" s="30" t="str">
        <x:v>https://whc.unesco.org/en/tentativelists/6430/</x:v>
      </x:c>
      <x:c r="Q88" s="30" t="str">
        <x:v>https://www.google.com/maps/search/?api=1&amp;query=Maqam+el-Rabb+%2F+Roman+Temple+Site%2C+Menjez%2C+Lebanon</x:v>
      </x:c>
      <x:c r="R88" s="30" t="str"/>
      <x:c r="S88" s="30" t="str">
        <x:v>2026-09-08</x:v>
      </x:c>
    </x:row>
    <x:row r="89">
      <x:c r="A89" s="30" t="n">
        <x:v>88</x:v>
      </x:c>
      <x:c r="B89" s="30" t="str">
        <x:v>Akkar</x:v>
      </x:c>
      <x:c r="C89" s="30" t="str">
        <x:v>Menjez</x:v>
      </x:c>
      <x:c r="D89" s="30" t="str">
        <x:v>Qalaat el-Feliz / Felicium</x:v>
      </x:c>
      <x:c r="E89" s="30" t="str">
        <x:v>Heritage / Archaeology</x:v>
      </x:c>
      <x:c r="F89" s="30" t="str">
        <x:v>Historic fortress remains and archaeological landscape</x:v>
      </x:c>
      <x:c r="G89" s="30" t="str">
        <x:v>Timeless / verify access</x:v>
      </x:c>
      <x:c r="H89" s="30" t="str">
        <x:v>Seasonal / Verify</x:v>
      </x:c>
      <x:c r="I89" s="30" t="str">
        <x:v>Menjez</x:v>
      </x:c>
      <x:c r="J89" s="30" t="str"/>
      <x:c r="K89" s="32"/>
      <x:c r="L89" s="34"/>
      <x:c r="M89" s="30" t="str"/>
      <x:c r="N89" s="30" t="str">
        <x:v>High</x:v>
      </x:c>
      <x:c r="O89" s="30" t="str">
        <x:v>UNESCO Tentative List / Menjez heritage context</x:v>
      </x:c>
      <x:c r="P89" s="30" t="str">
        <x:v>https://whc.unesco.org/en/tentativelists/6430/</x:v>
      </x:c>
      <x:c r="Q89" s="30" t="str">
        <x:v>https://www.google.com/maps/search/?api=1&amp;query=Qalaat+el-Feliz+%2F+Felicium%2C+Menjez%2C+Lebanon</x:v>
      </x:c>
      <x:c r="R89" s="30" t="str"/>
      <x:c r="S89" s="30" t="str">
        <x:v>2026-09-08</x:v>
      </x:c>
    </x:row>
    <x:row r="90">
      <x:c r="A90" s="30" t="n">
        <x:v>89</x:v>
      </x:c>
      <x:c r="B90" s="30" t="str">
        <x:v>Akkar</x:v>
      </x:c>
      <x:c r="C90" s="30" t="str">
        <x:v>Arqa</x:v>
      </x:c>
      <x:c r="D90" s="30" t="str">
        <x:v>Tell Arqa</x:v>
      </x:c>
      <x:c r="E90" s="30" t="str">
        <x:v>Heritage / Archaeology</x:v>
      </x:c>
      <x:c r="F90" s="30" t="str">
        <x:v>Explore one of North Lebanon's major archaeological tells</x:v>
      </x:c>
      <x:c r="G90" s="30" t="str">
        <x:v>Timeless / verify access</x:v>
      </x:c>
      <x:c r="H90" s="30" t="str">
        <x:v>Seasonal / Verify</x:v>
      </x:c>
      <x:c r="I90" s="30" t="str">
        <x:v>G2JW+87, Aarqa</x:v>
      </x:c>
      <x:c r="J90" s="30" t="str"/>
      <x:c r="K90" s="32" t="n">
        <x:v>4.3</x:v>
      </x:c>
      <x:c r="L90" s="34" t="n">
        <x:v>4</x:v>
      </x:c>
      <x:c r="M90" s="30" t="str"/>
      <x:c r="N90" s="30" t="str">
        <x:v>High</x:v>
      </x:c>
      <x:c r="O90" s="30" t="str">
        <x:v>Current local-business listing + ICCROM archaeology source</x:v>
      </x:c>
      <x:c r="P90" s="30" t="str">
        <x:v>https://www.iccrom.org/sites/default/files/publications/2018-11/protectiveshelters_web_rev.pdf</x:v>
      </x:c>
      <x:c r="Q90" s="30" t="str">
        <x:v>https://www.google.com/maps/search/?api=1&amp;query=Tell+Arqa%2C+Arqa%2C+Lebanon</x:v>
      </x:c>
      <x:c r="R90" s="30" t="str"/>
      <x:c r="S90" s="30" t="str">
        <x:v>2026-09-08</x:v>
      </x:c>
    </x:row>
    <x:row r="91">
      <x:c r="A91" s="30" t="n">
        <x:v>90</x:v>
      </x:c>
      <x:c r="B91" s="30" t="str">
        <x:v>Akkar</x:v>
      </x:c>
      <x:c r="C91" s="30" t="str">
        <x:v>Akkar Al-Atika</x:v>
      </x:c>
      <x:c r="D91" s="30" t="str">
        <x:v>Hosn Akkar / Akkar Fortress</x:v>
      </x:c>
      <x:c r="E91" s="30" t="str">
        <x:v>Heritage / Hiking</x:v>
      </x:c>
      <x:c r="F91" s="30" t="str">
        <x:v>Hike toward the historic fortress and enjoy mountain views</x:v>
      </x:c>
      <x:c r="G91" s="30" t="str">
        <x:v>Trail / heritage - verify access</x:v>
      </x:c>
      <x:c r="H91" s="30" t="str">
        <x:v>Seasonal / Verify</x:v>
      </x:c>
      <x:c r="I91" s="30" t="str">
        <x:v>Akkar Al-Atika</x:v>
      </x:c>
      <x:c r="J91" s="30" t="str"/>
      <x:c r="K91" s="32"/>
      <x:c r="L91" s="34"/>
      <x:c r="M91" s="30" t="str"/>
      <x:c r="N91" s="30" t="str">
        <x:v>High</x:v>
      </x:c>
      <x:c r="O91" s="30" t="str">
        <x:v>2026 organized-hike source</x:v>
      </x:c>
      <x:c r="P91" s="30" t="str">
        <x:v>https://lebanonspotlights.com/events/akkar-el-atiqa-hike-with-vamos-todos/</x:v>
      </x:c>
      <x:c r="Q91" s="30" t="str">
        <x:v>https://www.google.com/maps/search/?api=1&amp;query=Hosn+Akkar+%2F+Akkar+Fortress%2C+Akkar+Al-Atika%2C+Lebanon</x:v>
      </x:c>
      <x:c r="R91" s="30" t="str"/>
      <x:c r="S91" s="30" t="str">
        <x:v>2026-09-08</x:v>
      </x:c>
    </x:row>
    <x:row r="92">
      <x:c r="A92" s="30" t="n">
        <x:v>91</x:v>
      </x:c>
      <x:c r="B92" s="30" t="str">
        <x:v>Akkar</x:v>
      </x:c>
      <x:c r="C92" s="30" t="str">
        <x:v>Akkar Al-Atika / Beit El Khalil</x:v>
      </x:c>
      <x:c r="D92" s="30" t="str">
        <x:v>نبع الشوح - Nabaa Al Shouh</x:v>
      </x:c>
      <x:c r="E92" s="30" t="str">
        <x:v>Nature / Hiking</x:v>
      </x:c>
      <x:c r="F92" s="30" t="str">
        <x:v>Hiking, spring/forest outing and nature photography</x:v>
      </x:c>
      <x:c r="G92" s="30" t="str">
        <x:v>Active - verified</x:v>
      </x:c>
      <x:c r="H92" s="30" t="str">
        <x:v>Current / Active</x:v>
      </x:c>
      <x:c r="I92" s="30" t="str">
        <x:v>G63J+4MC, Beit El Khalil</x:v>
      </x:c>
      <x:c r="J92" s="30" t="str">
        <x:v>+961 3 466 507</x:v>
      </x:c>
      <x:c r="K92" s="32" t="n">
        <x:v>4.5</x:v>
      </x:c>
      <x:c r="L92" s="34" t="n">
        <x:v>22</x:v>
      </x:c>
      <x:c r="M92" s="30" t="str">
        <x:v>07:00-20:00 daily</x:v>
      </x:c>
      <x:c r="N92" s="30" t="str">
        <x:v>High</x:v>
      </x:c>
      <x:c r="O92" s="30" t="str">
        <x:v>Current local-business listing</x:v>
      </x:c>
      <x:c r="P92" s="30" t="str">
        <x:v>https://www.google.com/maps/search/?api=1&amp;query=%D9%86%D8%A8%D8%B9+%D8%A7%D9%84%D8%B4%D9%88%D8%AD+%D8%B9%D9%83%D8%A7%D8%B1+%D8%A7%D9%84%D8%B9%D8%AA%D9%8A%D9%82%D8%A9%2C+Akkar+Al-Atika%2C+Lebanon</x:v>
      </x:c>
      <x:c r="Q92" s="30" t="str">
        <x:v>https://www.google.com/maps/search/?api=1&amp;query=%D9%86%D8%A8%D8%B9+%D8%A7%D9%84%D8%B4%D9%88%D8%AD+-+Nabaa+Al+Shouh%2C+Akkar+Al-Atika+%2F+Beit+El+Khalil%2C+Lebanon</x:v>
      </x:c>
      <x:c r="R92" s="30" t="str"/>
      <x:c r="S92" s="30" t="str">
        <x:v>2026-09-08</x:v>
      </x:c>
    </x:row>
    <x:row r="93">
      <x:c r="A93" s="30" t="n">
        <x:v>92</x:v>
      </x:c>
      <x:c r="B93" s="30" t="str">
        <x:v>Akkar</x:v>
      </x:c>
      <x:c r="C93" s="30" t="str">
        <x:v>Fnaideq</x:v>
      </x:c>
      <x:c r="D93" s="30" t="str">
        <x:v>Azer Forest Campground</x:v>
      </x:c>
      <x:c r="E93" s="30" t="str">
        <x:v>Camping / Outdoor</x:v>
      </x:c>
      <x:c r="F93" s="30" t="str">
        <x:v>Camping and forest experience</x:v>
      </x:c>
      <x:c r="G93" s="30" t="str">
        <x:v>Active listing</x:v>
      </x:c>
      <x:c r="H93" s="30" t="str">
        <x:v>Current / Active</x:v>
      </x:c>
      <x:c r="I93" s="30" t="str">
        <x:v>F6C5+QG, Fnaideq</x:v>
      </x:c>
      <x:c r="J93" s="30" t="str">
        <x:v>+961 81 881 537</x:v>
      </x:c>
      <x:c r="K93" s="32" t="n">
        <x:v>4.3</x:v>
      </x:c>
      <x:c r="L93" s="34" t="n">
        <x:v>3</x:v>
      </x:c>
      <x:c r="M93" s="30" t="str"/>
      <x:c r="N93" s="30" t="str">
        <x:v>Medium</x:v>
      </x:c>
      <x:c r="O93" s="30" t="str">
        <x:v>Current local-business listing</x:v>
      </x:c>
      <x:c r="P93" s="30" t="str">
        <x:v>https://www.google.com/maps/search/?api=1&amp;query=Azer+forest%2C+Fnaideq%2C+Lebanon</x:v>
      </x:c>
      <x:c r="Q93" s="30" t="str">
        <x:v>https://www.google.com/maps/search/?api=1&amp;query=Azer+Forest+Campground%2C+Fnaideq%2C+Lebanon</x:v>
      </x:c>
      <x:c r="R93" s="30" t="str"/>
      <x:c r="S93" s="30" t="str">
        <x:v>2026-09-08</x:v>
      </x:c>
    </x:row>
    <x:row r="94">
      <x:c r="A94" s="30" t="n">
        <x:v>93</x:v>
      </x:c>
      <x:c r="B94" s="30" t="str">
        <x:v>Akkar</x:v>
      </x:c>
      <x:c r="C94" s="30" t="str">
        <x:v>Barghoch</x:v>
      </x:c>
      <x:c r="D94" s="30" t="str">
        <x:v>Sawah Camping</x:v>
      </x:c>
      <x:c r="E94" s="30" t="str">
        <x:v>Camping / Outdoor</x:v>
      </x:c>
      <x:c r="F94" s="30" t="str">
        <x:v>Camping and mountain getaway</x:v>
      </x:c>
      <x:c r="G94" s="30" t="str">
        <x:v>Active listing</x:v>
      </x:c>
      <x:c r="H94" s="30" t="str">
        <x:v>Current / Active</x:v>
      </x:c>
      <x:c r="I94" s="30" t="str">
        <x:v>97FJ+P8J, Barghoch</x:v>
      </x:c>
      <x:c r="J94" s="30" t="str">
        <x:v>+961 81 034 070</x:v>
      </x:c>
      <x:c r="K94" s="32"/>
      <x:c r="L94" s="34"/>
      <x:c r="M94" s="30" t="str"/>
      <x:c r="N94" s="30" t="str">
        <x:v>Medium</x:v>
      </x:c>
      <x:c r="O94" s="30" t="str">
        <x:v>Current local-business listing</x:v>
      </x:c>
      <x:c r="P94" s="30" t="str">
        <x:v>https://www.google.com/maps/search/?api=1&amp;query=Sawah+camping%2C+Barghoch%2C+Lebanon</x:v>
      </x:c>
      <x:c r="Q94" s="30" t="str">
        <x:v>https://www.google.com/maps/search/?api=1&amp;query=Sawah+Camping%2C+Barghoch%2C+Lebanon</x:v>
      </x:c>
      <x:c r="R94" s="30" t="str"/>
      <x:c r="S94" s="30" t="str">
        <x:v>2026-09-08</x:v>
      </x:c>
    </x:row>
    <x:row r="95">
      <x:c r="A95" s="30" t="n">
        <x:v>94</x:v>
      </x:c>
      <x:c r="B95" s="30" t="str">
        <x:v>Akkar</x:v>
      </x:c>
      <x:c r="C95" s="30" t="str">
        <x:v>Houaich</x:v>
      </x:c>
      <x:c r="D95" s="30" t="str">
        <x:v>Jabal Kalaa - جبل القلعة</x:v>
      </x:c>
      <x:c r="E95" s="30" t="str">
        <x:v>Nature / Hiking</x:v>
      </x:c>
      <x:c r="F95" s="30" t="str">
        <x:v>Hiking and mountain views</x:v>
      </x:c>
      <x:c r="G95" s="30" t="str">
        <x:v>Active listing</x:v>
      </x:c>
      <x:c r="H95" s="30" t="str">
        <x:v>Current / Active</x:v>
      </x:c>
      <x:c r="I95" s="30" t="str">
        <x:v>F4X5+83, Houaich</x:v>
      </x:c>
      <x:c r="J95" s="30" t="str"/>
      <x:c r="K95" s="32" t="n">
        <x:v>5</x:v>
      </x:c>
      <x:c r="L95" s="34" t="n">
        <x:v>4</x:v>
      </x:c>
      <x:c r="M95" s="30" t="str">
        <x:v>Open 24 hours</x:v>
      </x:c>
      <x:c r="N95" s="30" t="str">
        <x:v>Medium</x:v>
      </x:c>
      <x:c r="O95" s="30" t="str">
        <x:v>Current local-business listing</x:v>
      </x:c>
      <x:c r="P95" s="30" t="str">
        <x:v>https://www.google.com/maps/search/?api=1&amp;query=Jabal+kalaa%2C+Houaich%2C+Lebanon</x:v>
      </x:c>
      <x:c r="Q95" s="30" t="str">
        <x:v>https://www.google.com/maps/search/?api=1&amp;query=Jabal+Kalaa+-+%D8%AC%D8%A8%D9%84+%D8%A7%D9%84%D9%82%D9%84%D8%B9%D8%A9%2C+Houaich%2C+Lebanon</x:v>
      </x:c>
      <x:c r="R95" s="30" t="str"/>
      <x:c r="S95" s="30" t="str">
        <x:v>2026-09-08</x:v>
      </x:c>
    </x:row>
    <x:row r="96">
      <x:c r="A96" s="30" t="n">
        <x:v>95</x:v>
      </x:c>
      <x:c r="B96" s="30" t="str">
        <x:v>Akkar</x:v>
      </x:c>
      <x:c r="C96" s="30" t="str">
        <x:v>Fnaideq / Akkar</x:v>
      </x:c>
      <x:c r="D96" s="30" t="str">
        <x:v>Qammouaa-Ezer Forest Hike</x:v>
      </x:c>
      <x:c r="E96" s="30" t="str">
        <x:v>Nature / Hiking</x:v>
      </x:c>
      <x:c r="F96" s="30" t="str">
        <x:v>Guided/organized hiking through Qammouaa and Ezer forest</x:v>
      </x:c>
      <x:c r="G96" s="30" t="str">
        <x:v>Recurring activity / route</x:v>
      </x:c>
      <x:c r="H96" s="30" t="str">
        <x:v>Seasonal / Verify</x:v>
      </x:c>
      <x:c r="I96" s="30" t="str">
        <x:v>Fnaideq-Qammouaa</x:v>
      </x:c>
      <x:c r="J96" s="30" t="str"/>
      <x:c r="K96" s="32"/>
      <x:c r="L96" s="34"/>
      <x:c r="M96" s="30" t="str"/>
      <x:c r="N96" s="30" t="str">
        <x:v>Medium</x:v>
      </x:c>
      <x:c r="O96" s="30" t="str">
        <x:v>Tourism Lebanon hiking reference</x:v>
      </x:c>
      <x:c r="P96" s="30" t="str">
        <x:v>https://tourism-lebanon.com/hiking-activity-lebanon/hiking-trip-to-ammouaa-ezer/</x:v>
      </x:c>
      <x:c r="Q96" s="30" t="str">
        <x:v>https://www.google.com/maps/search/?api=1&amp;query=Qammouaa-Ezer+Forest+Hike%2C+Fnaideq+%2F+Akkar%2C+Lebanon</x:v>
      </x:c>
      <x:c r="R96" s="30" t="str"/>
      <x:c r="S96" s="30" t="str">
        <x:v>2026-09-08</x:v>
      </x:c>
    </x:row>
    <x:row r="97">
      <x:c r="A97" s="30" t="n">
        <x:v>96</x:v>
      </x:c>
      <x:c r="B97" s="30" t="str">
        <x:v>Akkar</x:v>
      </x:c>
      <x:c r="C97" s="30" t="str">
        <x:v>Qoubaiyat</x:v>
      </x:c>
      <x:c r="D97" s="30" t="str">
        <x:v>Qoubaiyat Village Heritage &amp; Forest Walk</x:v>
      </x:c>
      <x:c r="E97" s="30" t="str">
        <x:v>Heritage / Hiking</x:v>
      </x:c>
      <x:c r="F97" s="30" t="str">
        <x:v>Walk the village, churches, traditional architecture and surrounding green hills</x:v>
      </x:c>
      <x:c r="G97" s="30" t="str">
        <x:v>Active public activity</x:v>
      </x:c>
      <x:c r="H97" s="30" t="str">
        <x:v>Current / Active</x:v>
      </x:c>
      <x:c r="I97" s="30" t="str">
        <x:v>Qoubaiyat</x:v>
      </x:c>
      <x:c r="J97" s="30" t="str"/>
      <x:c r="K97" s="32"/>
      <x:c r="L97" s="34"/>
      <x:c r="M97" s="30" t="str"/>
      <x:c r="N97" s="30" t="str">
        <x:v>Medium</x:v>
      </x:c>
      <x:c r="O97" s="30" t="str">
        <x:v>Current 2026 Akkar travel guide</x:v>
      </x:c>
      <x:c r="P97" s="30" t="str">
        <x:v>https://qlayaatairport.com/2026/09/06/3-days-in-akkar-lebanon/</x:v>
      </x:c>
      <x:c r="Q97" s="30" t="str">
        <x:v>https://www.google.com/maps/search/?api=1&amp;query=Qoubaiyat+Village+Heritage+%26+Forest+Walk%2C+Qoubaiyat%2C+Lebanon</x:v>
      </x:c>
      <x:c r="R97" s="30" t="str"/>
      <x:c r="S97" s="30" t="str">
        <x:v>2026-09-08</x:v>
      </x:c>
    </x:row>
    <x:row r="98">
      <x:c r="A98" s="30" t="n">
        <x:v>97</x:v>
      </x:c>
      <x:c r="B98" s="30" t="str">
        <x:v>Akkar</x:v>
      </x:c>
      <x:c r="C98" s="30" t="str">
        <x:v>Akkar highlands</x:v>
      </x:c>
      <x:c r="D98" s="30" t="str">
        <x:v>Karm Chbat / Qammouaa Biodiversity Excursion</x:v>
      </x:c>
      <x:c r="E98" s="30" t="str">
        <x:v>Nature / Education</x:v>
      </x:c>
      <x:c r="F98" s="30" t="str">
        <x:v>Forest ecology, birdwatching and biodiversity-focused outing</x:v>
      </x:c>
      <x:c r="G98" s="30" t="str">
        <x:v>Protected landscape / verify guide</x:v>
      </x:c>
      <x:c r="H98" s="30" t="str">
        <x:v>Seasonal / Verify</x:v>
      </x:c>
      <x:c r="I98" s="30" t="str">
        <x:v>Akkar highlands</x:v>
      </x:c>
      <x:c r="J98" s="30" t="str"/>
      <x:c r="K98" s="32"/>
      <x:c r="L98" s="34"/>
      <x:c r="M98" s="30" t="str"/>
      <x:c r="N98" s="30" t="str">
        <x:v>High</x:v>
      </x:c>
      <x:c r="O98" s="30" t="str">
        <x:v>UNDP + Ministry of Environment context</x:v>
      </x:c>
      <x:c r="P98" s="30" t="str">
        <x:v>https://www.undp.org/lebanon/projects/stepping-nature-reserves-capacity-step4nature-0</x:v>
      </x:c>
      <x:c r="Q98" s="30" t="str">
        <x:v>https://www.google.com/maps/search/?api=1&amp;query=Karm+Chbat+%2F+Qammouaa+Biodiversity+Excursion%2C+Akkar+highlands%2C+Lebanon</x:v>
      </x:c>
      <x:c r="R98" s="30" t="str"/>
      <x:c r="S98" s="30" t="str">
        <x:v>2026-09-08</x:v>
      </x:c>
    </x:row>
  </x:sheetData>
  <x:conditionalFormatting sqref="H2:H98">
    <x:cfRule type="expression" dxfId="0" priority="1">
      <x:formula>H2="Current / Active"</x:formula>
    </x:cfRule>
    <x:cfRule type="expression" dxfId="1" priority="2">
      <x:formula>OR(H2="Seasonal / Verify",H2="Heritage / Long-lived")</x:formula>
    </x:cfRule>
    <x:cfRule type="expression" dxfId="2" priority="3">
      <x:formula>H2="Closed / Conflict"</x:formula>
    </x:cfRule>
  </x:conditionalFormatting>
  <x:conditionalFormatting sqref="N2:N98">
    <x:cfRule type="expression" dxfId="3" priority="4">
      <x:formula>N2="High"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f47eca9f234c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7" hidden="0" customWidth="1"/>
    <x:col min="3" max="3" width="53" hidden="0" customWidth="1"/>
    <x:col min="4" max="4" width="59" hidden="0" customWidth="1"/>
  </x:cols>
  <x:sheetData>
    <x:row r="1">
      <x:c r="A1" s="26" t="str">
        <x:v>Area</x:v>
      </x:c>
      <x:c r="B1" s="26" t="str">
        <x:v>Geographic Interpretation</x:v>
      </x:c>
      <x:c r="C1" s="26" t="str">
        <x:v>Included Examples</x:v>
      </x:c>
      <x:c r="D1" s="26" t="str">
        <x:v>Excluded / Caution</x:v>
      </x:c>
    </x:row>
    <x:row r="2">
      <x:c r="A2" s="30" t="str">
        <x:v>Batroun</x:v>
      </x:c>
      <x:c r="B2" s="30" t="str">
        <x:v>Batroun city plus nearby attractions commonly used in a Batroun itinerary when explicitly labeled by exact locality.</x:v>
      </x:c>
      <x:c r="C2" s="30" t="str">
        <x:v>Batroun city, Hamat/Mseilha, El Heri/Nabu, Tehoum family venues</x:v>
      </x:c>
      <x:c r="D2" s="30" t="str">
        <x:v>Exact Locality must be checked before treating a record as central Batroun.</x:v>
      </x:c>
    </x:row>
    <x:row r="3">
      <x:c r="A3" s="30" t="str">
        <x:v>Tripoli</x:v>
      </x:c>
      <x:c r="B3" s="30" t="str">
        <x:v>Tripoli city plus El Mina waterfront and Palm Islands offshore.</x:v>
      </x:c>
      <x:c r="C3" s="30" t="str">
        <x:v>Old City, Al-Tell, El Mina, Rachid Karami Fair, Palm Islands</x:v>
      </x:c>
      <x:c r="D3" s="30" t="str">
        <x:v>Palm Islands access is seasonal and boat-dependent.</x:v>
      </x:c>
    </x:row>
    <x:row r="4">
      <x:c r="A4" s="30" t="str">
        <x:v>Ehden</x:v>
      </x:c>
      <x:c r="B4" s="30" t="str">
        <x:v>Ehden destination and immediate outdoor zone.</x:v>
      </x:c>
      <x:c r="C4" s="30" t="str">
        <x:v>Horsh Ehden, Midan, Saydet el Hosn, sports and camping</x:v>
      </x:c>
      <x:c r="D4" s="30" t="str">
        <x:v>Some destination-directory entries require booking verification.</x:v>
      </x:c>
    </x:row>
    <x:row r="5">
      <x:c r="A5" s="30" t="str">
        <x:v>Bsharri</x:v>
      </x:c>
      <x:c r="B5" s="30" t="str">
        <x:v>Bsharri town plus Al Arz/Cedars and the Bsharri-side Qadisha activity zone.</x:v>
      </x:c>
      <x:c r="C5" s="30" t="str">
        <x:v>Cedars of God, Gibran Museum, ski area, grotto, valley trails</x:v>
      </x:c>
      <x:c r="D5" s="30" t="str">
        <x:v>Trail/cave/monastery access can vary by weather and local conditions.</x:v>
      </x:c>
    </x:row>
    <x:row r="6">
      <x:c r="A6" s="30" t="str">
        <x:v>Akkar</x:v>
      </x:c>
      <x:c r="B6" s="30" t="str">
        <x:v>Regional governorate-level scope across multiple towns and villages.</x:v>
      </x:c>
      <x:c r="C6" s="30" t="str">
        <x:v>Qoubaiyat, Fnaideq/Qammouaa, Menjez, Arqa, Akkar Al-Atika, Aandqet</x:v>
      </x:c>
      <x:c r="D6" s="30" t="str">
        <x:v>Akkar is broad; never treat a venue as being in one 'Akkar city'.</x:v>
      </x:c>
    </x:row>
  </x:sheetData>
  <x:pageMargins left="0.7" right="0.7" top="0.75" bottom="0.75" header="0.3" footer="0.3"/>
  <x:tableParts count="1">
    <x:tablePart xmlns:r="http://schemas.openxmlformats.org/officeDocument/2006/relationships" r:id="Rc07a4afb549b49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9" hidden="0" customWidth="1"/>
    <x:col min="3" max="3" width="18" hidden="0" customWidth="1"/>
    <x:col min="4" max="4" width="61" hidden="0" customWidth="1"/>
  </x:cols>
  <x:sheetData>
    <x:row r="1">
      <x:c r="A1" s="26" t="str">
        <x:v>Source</x:v>
      </x:c>
      <x:c r="B1" s="26" t="str">
        <x:v>URL</x:v>
      </x:c>
      <x:c r="C1" s="26" t="str">
        <x:v>Area(s)</x:v>
      </x:c>
      <x:c r="D1" s="26" t="str">
        <x:v>Use</x:v>
      </x:c>
    </x:row>
    <x:row r="2">
      <x:c r="A2" s="30" t="str">
        <x:v>UNESCO — Historic Center of Batroun</x:v>
      </x:c>
      <x:c r="B2" s="30" t="str">
        <x:v>https://whc.unesco.org/en/tentativelists/6428/</x:v>
      </x:c>
      <x:c r="C2" s="30" t="str">
        <x:v>Batroun</x:v>
      </x:c>
      <x:c r="D2" s="30" t="str">
        <x:v>Historic-center scope and heritage significance.</x:v>
      </x:c>
    </x:row>
    <x:row r="3">
      <x:c r="A3" s="30" t="str">
        <x:v>Batroun Water Sports</x:v>
      </x:c>
      <x:c r="B3" s="30" t="str">
        <x:v>https://batrounwatersports.com/</x:v>
      </x:c>
      <x:c r="C3" s="30" t="str">
        <x:v>Batroun</x:v>
      </x:c>
      <x:c r="D3" s="30" t="str">
        <x:v>Current water-sport activities.</x:v>
      </x:c>
    </x:row>
    <x:row r="4">
      <x:c r="A4" s="30" t="str">
        <x:v>Visit Tripoli</x:v>
      </x:c>
      <x:c r="B4" s="30" t="str">
        <x:v>https://visit-tripoli.com/guide</x:v>
      </x:c>
      <x:c r="C4" s="30" t="str">
        <x:v>Tripoli</x:v>
      </x:c>
      <x:c r="D4" s="30" t="str">
        <x:v>Old city, souks, heritage and visitor planning.</x:v>
      </x:c>
    </x:row>
    <x:row r="5">
      <x:c r="A5" s="30" t="str">
        <x:v>UNESCO — Rachid Karami International Fair</x:v>
      </x:c>
      <x:c r="B5" s="30" t="str">
        <x:v>https://whc.unesco.org/en/list/1702</x:v>
      </x:c>
      <x:c r="C5" s="30" t="str">
        <x:v>Tripoli</x:v>
      </x:c>
      <x:c r="D5" s="30" t="str">
        <x:v>World Heritage status and conservation context.</x:v>
      </x:c>
    </x:row>
    <x:row r="6">
      <x:c r="A6" s="30" t="str">
        <x:v>Lebanese Ministry of Environment — Palm Islands</x:v>
      </x:c>
      <x:c r="B6" s="30" t="str">
        <x:v>https://www.moe.gov.lb/ProtectedAreas/pdf/PA/PALM-RESERVE.pdf</x:v>
      </x:c>
      <x:c r="C6" s="30" t="str">
        <x:v>Tripoli</x:v>
      </x:c>
      <x:c r="D6" s="30" t="str">
        <x:v>Official visitor season and permitted activities.</x:v>
      </x:c>
    </x:row>
    <x:row r="7">
      <x:c r="A7" s="30" t="str">
        <x:v>Visit Ehden</x:v>
      </x:c>
      <x:c r="B7" s="30" t="str">
        <x:v>https://visitehden.com/</x:v>
      </x:c>
      <x:c r="C7" s="30" t="str">
        <x:v>Ehden</x:v>
      </x:c>
      <x:c r="D7" s="30" t="str">
        <x:v>Current destination, outdoor, sports and event discovery.</x:v>
      </x:c>
    </x:row>
    <x:row r="8">
      <x:c r="A8" s="30" t="str">
        <x:v>Horsh Ehden Nature Reserve</x:v>
      </x:c>
      <x:c r="B8" s="30" t="str">
        <x:v>https://horshehden.org/</x:v>
      </x:c>
      <x:c r="C8" s="30" t="str">
        <x:v>Ehden</x:v>
      </x:c>
      <x:c r="D8" s="30" t="str">
        <x:v>Official reserve information and ecotourism activities.</x:v>
      </x:c>
    </x:row>
    <x:row r="9">
      <x:c r="A9" s="30" t="str">
        <x:v>UNESCO — Qadisha &amp; Cedars of God</x:v>
      </x:c>
      <x:c r="B9" s="30" t="str">
        <x:v>https://whc.unesco.org/en/list/850</x:v>
      </x:c>
      <x:c r="C9" s="30" t="str">
        <x:v>Bsharri</x:v>
      </x:c>
      <x:c r="D9" s="30" t="str">
        <x:v>World Heritage natural/cultural context.</x:v>
      </x:c>
    </x:row>
    <x:row r="10">
      <x:c r="A10" s="30" t="str">
        <x:v>Municipality of Bcharri Attractions</x:v>
      </x:c>
      <x:c r="B10" s="30" t="str">
        <x:v>https://website.bcharri.net/places/lebanon/north-lebanon/bcharri/attractions/?lang=en</x:v>
      </x:c>
      <x:c r="C10" s="30" t="str">
        <x:v>Bsharri</x:v>
      </x:c>
      <x:c r="D10" s="30" t="str">
        <x:v>Current local attraction catalogue.</x:v>
      </x:c>
    </x:row>
    <x:row r="11">
      <x:c r="A11" s="30" t="str">
        <x:v>Menjez Heritage</x:v>
      </x:c>
      <x:c r="B11" s="30" t="str">
        <x:v>https://www.menjez-heritage.com/</x:v>
      </x:c>
      <x:c r="C11" s="30" t="str">
        <x:v>Akkar</x:v>
      </x:c>
      <x:c r="D11" s="30" t="str">
        <x:v>Heritage House, dolmen trail and practical visiting information.</x:v>
      </x:c>
    </x:row>
    <x:row r="12">
      <x:c r="A12" s="30" t="str">
        <x:v>UNESCO — Menjez tentative site</x:v>
      </x:c>
      <x:c r="B12" s="30" t="str">
        <x:v>https://whc.unesco.org/en/tentativelists/6430/</x:v>
      </x:c>
      <x:c r="C12" s="30" t="str">
        <x:v>Akkar</x:v>
      </x:c>
      <x:c r="D12" s="30" t="str">
        <x:v>Menjez archaeological landscape.</x:v>
      </x:c>
    </x:row>
    <x:row r="13">
      <x:c r="A13" s="30" t="str">
        <x:v>UNDP — STEP4Nature</x:v>
      </x:c>
      <x:c r="B13" s="30" t="str">
        <x:v>https://www.undp.org/lebanon/projects/stepping-nature-reserves-capacity-step4nature-0</x:v>
      </x:c>
      <x:c r="C13" s="30" t="str">
        <x:v>Akkar / Ehden</x:v>
      </x:c>
      <x:c r="D13" s="30" t="str">
        <x:v>Protected-area program including Karm Chbat and Horsh Ehden.</x:v>
      </x:c>
    </x:row>
    <x:row r="14">
      <x:c r="A14" s="30" t="str">
        <x:v>Current local-business/map listings</x:v>
      </x:c>
      <x:c r="B14" s="30" t="str">
        <x:v>https://www.google.com/maps</x:v>
      </x:c>
      <x:c r="C14" s="30" t="str">
        <x:v>All</x:v>
      </x:c>
      <x:c r="D14" s="30" t="str">
        <x:v>Ratings, phones, current hours, exact-address and closure checks where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3d536661af86464b"/>
  </x:tableParts>
</x:worksheet>
</file>