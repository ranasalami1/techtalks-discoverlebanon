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358672e76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f51d1d4366949b6"/>
    <x:sheet xmlns:r="http://schemas.openxmlformats.org/officeDocument/2006/relationships" name="Village Summary" sheetId="2" r:id="R32eb58ce6f454e01"/>
    <x:sheet xmlns:r="http://schemas.openxmlformats.org/officeDocument/2006/relationships" name="Coffee Shops" sheetId="3" r:id="R158a14addc074798"/>
    <x:sheet xmlns:r="http://schemas.openxmlformats.org/officeDocument/2006/relationships" name="Input Mapping" sheetId="4" r:id="Rc461bb476e8b4c88"/>
    <x:sheet xmlns:r="http://schemas.openxmlformats.org/officeDocument/2006/relationships" name="Research Gaps" sheetId="5" r:id="Rff41564d6f59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D2B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D2B1F"/>
      </x:patternFill>
    </x:fill>
    <x:fill>
      <x:patternFill patternType="solid">
        <x:fgColor rgb="FFEADDCB"/>
      </x:patternFill>
    </x:fill>
    <x:fill>
      <x:patternFill patternType="solid">
        <x:fgColor rgb="FF6F4E3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E4F1E5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4F1E5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7c2f32bfb496c" /><Relationship Type="http://schemas.openxmlformats.org/officeDocument/2006/relationships/theme" Target="/xl/theme/theme1.xml" Id="Rb476fc85b7324a00" /><Relationship Type="http://schemas.openxmlformats.org/officeDocument/2006/relationships/sharedStrings" Target="/xl/sharedStrings.xml" Id="R95d4afa4ee3547f8" /><Relationship Type="http://schemas.openxmlformats.org/officeDocument/2006/relationships/worksheet" Target="/xl/worksheets/sheet1.xml" Id="R2f51d1d4366949b6" /><Relationship Type="http://schemas.openxmlformats.org/officeDocument/2006/relationships/worksheet" Target="/xl/worksheets/sheet2.xml" Id="R32eb58ce6f454e01" /><Relationship Type="http://schemas.openxmlformats.org/officeDocument/2006/relationships/worksheet" Target="/xl/worksheets/sheet3.xml" Id="R158a14addc074798" /><Relationship Type="http://schemas.openxmlformats.org/officeDocument/2006/relationships/worksheet" Target="/xl/worksheets/sheet4.xml" Id="Rc461bb476e8b4c88" /><Relationship Type="http://schemas.openxmlformats.org/officeDocument/2006/relationships/worksheet" Target="/xl/worksheets/sheet5.xml" Id="Rff41564d6f594d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6d96aa88a84b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Research status of surfaced listings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'Overview'!$G$5:$G$8</c:f>
              <c:strCache>
                <c:ptCount val="0"/>
              </c:strCache>
            </c:strRef>
          </c:cat>
          <c:val>
            <c:numRef>
              <c:f>'Overview'!$H$5:$H$8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6d96aa88a84b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VillageSummaryTable" displayName="VillageSummaryTable" ref="A1:I41" headerRowCount="1" totalsRowCount="0" totalsRowShown="0">
  <x:tableColumns count="9">
    <x:tableColumn id="1" name="Canonical Locality"/>
    <x:tableColumn id="2" name="Official / Common Name"/>
    <x:tableColumn id="3" name="Active Verified"/>
    <x:tableColumn id="4" name="Listed Current"/>
    <x:tableColumn id="5" name="Needs Verification"/>
    <x:tableColumn id="6" name="Closed / Conflict"/>
    <x:tableColumn id="7" name="Total Surfaced"/>
    <x:tableColumn id="8" name="Research 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ffeeShopsTable" displayName="CoffeeShopsTable" ref="A1:P129" headerRowCount="1" totalsRowCount="0" totalsRowShown="0">
  <x:tableColumns count="16">
    <x:tableColumn id="1" name="ID"/>
    <x:tableColumn id="2" name="Canonical Locality"/>
    <x:tableColumn id="3" name="Business Name"/>
    <x:tableColumn id="4" name="Type"/>
    <x:tableColumn id="5" name="Status"/>
    <x:tableColumn id="6" name="Address / Area"/>
    <x:tableColumn id="7" name="Phone"/>
    <x:tableColumn id="8" name="Rating"/>
    <x:tableColumn id="9" name="Reviews"/>
    <x:tableColumn id="10" name="Hours"/>
    <x:tableColumn id="11" name="Confidence"/>
    <x:tableColumn id="12" name="Evidence Source"/>
    <x:tableColumn id="13" name="Source URL"/>
    <x:tableColumn id="14" name="Map / Search Link"/>
    <x:tableColumn id="15" name="Notes"/>
    <x:tableColumn id="16" name="Last 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putMappingTable" displayName="InputMappingTable" ref="A1:D43" headerRowCount="1" totalsRowCount="0" totalsRowShown="0">
  <x:tableColumns count="4">
    <x:tableColumn id="1" name="Original #"/>
    <x:tableColumn id="2" name="Original User Entry"/>
    <x:tableColumn id="3" name="Canonical Research Unit"/>
    <x:tableColumn id="4" name="Normaliz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GapsTable" displayName="ResearchGapsTable" ref="A1:D14" headerRowCount="1" totalsRowCount="0" totalsRowShown="0">
  <x:tableColumns count="4">
    <x:tableColumn id="1" name="Canonical Locality"/>
    <x:tableColumn id="2" name="Current Result"/>
    <x:tableColumn id="3" name="Why It Is Not Counted as Zero Cafés"/>
    <x:tableColumn id="4" name="Evidence / Follow-up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c189b5cffc4c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aa026f8b5543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92ab074f964c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0fa960cf7a43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dcbd492b2e4c3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6" hidden="0" customWidth="1"/>
    <x:col min="4" max="4" width="25" hidden="0" customWidth="1"/>
    <x:col min="5" max="5" width="16" hidden="0" customWidth="1"/>
    <x:col min="7" max="7" width="24" hidden="0" customWidth="1"/>
    <x:col min="8" max="8" width="16" hidden="0" customWidth="1"/>
  </x:cols>
  <x:sheetData>
    <x:row r="1" ht="28" customHeight="1">
      <x:c r="A1" s="28" t="str">
        <x:v>Nabatieh District Coffee-Shop Deep Research</x:v>
      </x:c>
      <x:c r="B1" s="28"/>
      <x:c r="C1" s="28"/>
      <x:c r="D1" s="28"/>
      <x:c r="E1" s="28"/>
      <x:c r="F1" s="28"/>
      <x:c r="G1" s="28"/>
      <x:c r="H1" s="28"/>
    </x:row>
    <x:row r="2" ht="28" customHeight="1">
      <x:c r="A2" s="29" t="str">
        <x:v>Publicly verifiable café / coffee-shop database | Checked 7 September 2026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Scope</x:v>
      </x:c>
      <x:c r="B4" s="31" t="str">
        <x:v>User-provided 42 locality entries in Nabatieh District, Lebanon</x:v>
      </x:c>
      <x:c r="C4" s="30"/>
      <x:c r="D4" s="32" t="str">
        <x:v>KPI</x:v>
      </x:c>
      <x:c r="E4" s="32" t="str">
        <x:v>Value</x:v>
      </x:c>
      <x:c r="F4" s="30"/>
      <x:c r="G4" s="32" t="str">
        <x:v>Status</x:v>
      </x:c>
      <x:c r="H4" s="32" t="str">
        <x:v>Count</x:v>
      </x:c>
    </x:row>
    <x:row r="5">
      <x:c r="A5" s="31" t="str">
        <x:v>Canonical units</x:v>
      </x:c>
      <x:c r="B5" s="31" t="str">
        <x:v>40 distinct research units after duplicate normalization</x:v>
      </x:c>
      <x:c r="C5" s="30"/>
      <x:c r="D5" s="30" t="str">
        <x:v>Original input entries</x:v>
      </x:c>
      <x:c r="E5" s="30" t="n">
        <x:v>42</x:v>
      </x:c>
      <x:c r="F5" s="30"/>
      <x:c r="G5" s="30" t="str">
        <x:v>Active - verified</x:v>
      </x:c>
      <x:c r="H5" s="30" t="n">
        <x:f>COUNTIF('Coffee Shops'!E2:E129,"Active - verified")</x:f>
        <x:v>57</x:v>
      </x:c>
    </x:row>
    <x:row r="6">
      <x:c r="A6" s="31" t="str">
        <x:v>Method</x:v>
      </x:c>
      <x:c r="B6" s="31" t="str">
        <x:v>Exact village + Arabic searches; current local-business data; specialty/local directories; local media</x:v>
      </x:c>
      <x:c r="C6" s="30"/>
      <x:c r="D6" s="30" t="str">
        <x:v>Canonical research units</x:v>
      </x:c>
      <x:c r="E6" s="30" t="n">
        <x:f>COUNTA('Village Summary'!A2:A41)</x:f>
        <x:v>40</x:v>
      </x:c>
      <x:c r="F6" s="30"/>
      <x:c r="G6" s="30" t="str">
        <x:v>Listed current</x:v>
      </x:c>
      <x:c r="H6" s="30" t="n">
        <x:f>COUNTIF('Coffee Shops'!E2:E129,"Listed current")</x:f>
        <x:v>36</x:v>
      </x:c>
    </x:row>
    <x:row r="7">
      <x:c r="A7" s="31" t="str">
        <x:v>Important rule</x:v>
      </x:c>
      <x:c r="B7" s="31" t="str">
        <x:v>Nearby-village results were excluded unless the address explicitly tied them to the target locality</x:v>
      </x:c>
      <x:c r="C7" s="30"/>
      <x:c r="D7" s="30" t="str">
        <x:v>Surfaced business listings</x:v>
      </x:c>
      <x:c r="E7" s="30" t="n">
        <x:f>COUNTA('Coffee Shops'!C2:C129)</x:f>
        <x:v>128</x:v>
      </x:c>
      <x:c r="F7" s="30"/>
      <x:c r="G7" s="30" t="str">
        <x:v>Needs verification</x:v>
      </x:c>
      <x:c r="H7" s="30" t="n">
        <x:f>COUNTIF('Coffee Shops'!E2:E129,"Needs verification")</x:f>
        <x:v>30</x:v>
      </x:c>
    </x:row>
    <x:row r="8">
      <x:c r="A8" s="31" t="str">
        <x:v>Coverage meaning</x:v>
      </x:c>
      <x:c r="B8" s="31" t="str">
        <x:v>This is the most complete publicly verifiable online list found—not proof that unlisted neighborhood ahwehs do not exist</x:v>
      </x:c>
      <x:c r="C8" s="30"/>
      <x:c r="D8" s="30" t="str">
        <x:v>Active - verified</x:v>
      </x:c>
      <x:c r="E8" s="30" t="n">
        <x:f>COUNTIF('Coffee Shops'!E2:E129,"Active - verified")</x:f>
        <x:v>57</x:v>
      </x:c>
      <x:c r="F8" s="30"/>
      <x:c r="G8" s="30" t="str">
        <x:v>Closed / conflict</x:v>
      </x:c>
      <x:c r="H8" s="30" t="n">
        <x:f>COUNTIF('Coffee Shops'!E2:E129,"Closed")+COUNTIF('Coffee Shops'!E2:E129,"Status conflict")</x:f>
        <x:v>5</x:v>
      </x:c>
    </x:row>
    <x:row r="9">
      <x:c r="A9" s="31" t="str">
        <x:v>Status rule</x:v>
      </x:c>
      <x:c r="B9" s="31" t="str">
        <x:v>Closed/conflicting businesses are preserved but separated from active/current listings</x:v>
      </x:c>
      <x:c r="C9" s="30"/>
      <x:c r="D9" s="30" t="str">
        <x:v>Listed current</x:v>
      </x:c>
      <x:c r="E9" s="30" t="n">
        <x:f>COUNTIF('Coffee Shops'!E2:E129,"Listed current")</x:f>
        <x:v>36</x:v>
      </x:c>
      <x:c r="F9" s="30"/>
      <x:c r="G9" s="30"/>
      <x:c r="H9" s="30"/>
    </x:row>
    <x:row r="10">
      <x:c r="A10" s="30"/>
      <x:c r="B10" s="30"/>
      <x:c r="C10" s="30"/>
      <x:c r="D10" s="30" t="str">
        <x:v>Needs verification</x:v>
      </x:c>
      <x:c r="E10" s="30" t="n">
        <x:f>COUNTIF('Coffee Shops'!E2:E129,"Needs verification")</x:f>
        <x:v>30</x:v>
      </x:c>
      <x:c r="F10" s="30"/>
      <x:c r="G10" s="30"/>
      <x:c r="H10" s="30"/>
    </x:row>
    <x:row r="11">
      <x:c r="A11" s="30"/>
      <x:c r="B11" s="30"/>
      <x:c r="C11" s="30"/>
      <x:c r="D11" s="30"/>
      <x:c r="E11" s="30"/>
      <x:c r="F11" s="30"/>
      <x:c r="G11" s="30"/>
      <x:c r="H11" s="30"/>
    </x:row>
    <x:row r="12">
      <x:c r="A12" s="33" t="str">
        <x:v>Legend</x:v>
      </x:c>
      <x:c r="B12" s="33" t="str">
        <x:v>Meaning</x:v>
      </x:c>
      <x:c r="C12" s="30"/>
      <x:c r="D12" s="30"/>
      <x:c r="E12" s="30"/>
      <x:c r="F12" s="30"/>
      <x:c r="G12" s="30"/>
      <x:c r="H12" s="30"/>
    </x:row>
    <x:row r="13">
      <x:c r="A13" s="31" t="str">
        <x:v>Active - verified</x:v>
      </x:c>
      <x:c r="B13" s="31" t="str">
        <x:v>Current local-business listing or strong exact-location corroboration.</x:v>
      </x:c>
      <x:c r="C13" s="30"/>
      <x:c r="D13" s="30"/>
      <x:c r="E13" s="30"/>
      <x:c r="F13" s="30"/>
      <x:c r="G13" s="30"/>
      <x:c r="H13" s="30"/>
    </x:row>
    <x:row r="14">
      <x:c r="A14" s="31" t="str">
        <x:v>Listed current</x:v>
      </x:c>
      <x:c r="B14" s="31" t="str">
        <x:v>Current directory/index listing, but not independently reverified in a second current source.</x:v>
      </x:c>
      <x:c r="C14" s="30"/>
      <x:c r="D14" s="30"/>
      <x:c r="E14" s="30"/>
      <x:c r="F14" s="30"/>
      <x:c r="G14" s="30"/>
      <x:c r="H14" s="30"/>
    </x:row>
    <x:row r="15">
      <x:c r="A15" s="31" t="str">
        <x:v>Needs verification</x:v>
      </x:c>
      <x:c r="B15" s="31" t="str">
        <x:v>Useful lead, but category, exact locality, name, phone or current operation needs another check.</x:v>
      </x:c>
      <x:c r="C15" s="30"/>
      <x:c r="D15" s="30"/>
      <x:c r="E15" s="30"/>
      <x:c r="F15" s="30"/>
      <x:c r="G15" s="30"/>
      <x:c r="H15" s="30"/>
    </x:row>
    <x:row r="16">
      <x:c r="A16" s="31" t="str">
        <x:v>Closed</x:v>
      </x:c>
      <x:c r="B16" s="31" t="str">
        <x:v>Current or reliable listing explicitly indicates closed.</x:v>
      </x:c>
      <x:c r="C16" s="30"/>
      <x:c r="D16" s="30"/>
      <x:c r="E16" s="30"/>
      <x:c r="F16" s="30"/>
      <x:c r="G16" s="30"/>
      <x:c r="H16" s="30"/>
    </x:row>
    <x:row r="17">
      <x:c r="A17" s="31" t="str">
        <x:v>Status conflict</x:v>
      </x:c>
      <x:c r="B17" s="31" t="str">
        <x:v>Public sources disagree on current operating status.</x:v>
      </x:c>
      <x:c r="C17" s="30"/>
      <x:c r="D17" s="30"/>
      <x:c r="E17" s="30"/>
      <x:c r="F17" s="30"/>
      <x:c r="G17" s="30"/>
      <x:c r="H17" s="30"/>
    </x:row>
    <x:row r="18">
      <x:c r="A18" s="31" t="str">
        <x:v>No listing in village</x:v>
      </x:c>
      <x:c r="B18" s="31" t="str">
        <x:v>Recorded in Research Gaps; does not mean the village definitely has zero cafés.</x:v>
      </x:c>
      <x:c r="C18" s="30"/>
      <x:c r="D18" s="30"/>
      <x:c r="E18" s="30"/>
      <x:c r="F18" s="30"/>
      <x:c r="G18" s="30"/>
      <x:c r="H18" s="30"/>
    </x:row>
    <x:row r="19">
      <x:c r="A19" s="30"/>
      <x:c r="B19" s="30"/>
      <x:c r="C19" s="30"/>
      <x:c r="D19" s="30"/>
      <x:c r="E19" s="30"/>
      <x:c r="F19" s="30"/>
      <x:c r="G19" s="30"/>
      <x:c r="H19" s="30"/>
    </x:row>
    <x:row r="20">
      <x:c r="A20" s="30"/>
      <x:c r="B20" s="30"/>
      <x:c r="C20" s="30"/>
      <x:c r="D20" s="30"/>
      <x:c r="E20" s="30"/>
      <x:c r="F20" s="30"/>
      <x:c r="G20" s="30"/>
      <x:c r="H20" s="30"/>
    </x:row>
    <x:row r="21">
      <x:c r="A21" s="30"/>
      <x:c r="B21" s="30"/>
      <x:c r="C21" s="30"/>
      <x:c r="D21" s="30"/>
      <x:c r="E21" s="30"/>
      <x:c r="F21" s="30"/>
      <x:c r="G21" s="30"/>
      <x:c r="H21" s="30"/>
    </x:row>
    <x:row r="22">
      <x:c r="A22" s="30"/>
      <x:c r="B22" s="30"/>
      <x:c r="C22" s="30"/>
      <x:c r="D22" s="30"/>
      <x:c r="E22" s="30"/>
      <x:c r="F22" s="30"/>
      <x:c r="G22" s="30"/>
      <x:c r="H22" s="30"/>
    </x:row>
    <x:row r="23">
      <x:c r="A23" s="30"/>
      <x:c r="B23" s="30"/>
      <x:c r="C23" s="30"/>
      <x:c r="D23" s="30"/>
      <x:c r="E23" s="30"/>
      <x:c r="F23" s="30"/>
      <x:c r="G23" s="30"/>
      <x:c r="H23" s="30"/>
    </x:row>
    <x:row r="24">
      <x:c r="A24" s="30"/>
      <x:c r="B24" s="30"/>
      <x:c r="C24" s="30"/>
      <x:c r="D24" s="30"/>
      <x:c r="E24" s="30"/>
      <x:c r="F24" s="30"/>
      <x:c r="G24" s="30"/>
      <x:c r="H24" s="30"/>
    </x:row>
    <x:row r="25">
      <x:c r="A25" s="30"/>
      <x:c r="B25" s="30"/>
      <x:c r="C25" s="30"/>
      <x:c r="D25" s="30"/>
      <x:c r="E25" s="30"/>
      <x:c r="F25" s="30"/>
      <x:c r="G25" s="30"/>
      <x:c r="H25" s="30"/>
    </x:row>
    <x:row r="26">
      <x:c r="A26" s="30"/>
      <x:c r="B26" s="30"/>
      <x:c r="C26" s="30"/>
      <x:c r="D26" s="30"/>
      <x:c r="E26" s="30"/>
      <x:c r="F26" s="30"/>
      <x:c r="G26" s="30"/>
      <x:c r="H26" s="30"/>
    </x:row>
    <x:row r="27">
      <x:c r="A27" s="30"/>
      <x:c r="B27" s="30"/>
      <x:c r="C27" s="30"/>
      <x:c r="D27" s="30"/>
      <x:c r="E27" s="30"/>
      <x:c r="F27" s="30"/>
      <x:c r="G27" s="30"/>
      <x:c r="H27" s="30"/>
    </x:row>
    <x:row r="28">
      <x:c r="A28" s="30"/>
      <x:c r="B28" s="30"/>
      <x:c r="C28" s="30"/>
      <x:c r="D28" s="30"/>
      <x:c r="E28" s="30"/>
      <x:c r="F28" s="30"/>
      <x:c r="G28" s="30"/>
      <x:c r="H28" s="30"/>
    </x:row>
    <x:row r="29">
      <x:c r="A29" s="30"/>
      <x:c r="B29" s="30"/>
      <x:c r="C29" s="30"/>
      <x:c r="D29" s="30"/>
      <x:c r="E29" s="30"/>
      <x:c r="F29" s="30"/>
      <x:c r="G29" s="30"/>
      <x:c r="H29" s="30"/>
    </x:row>
    <x:row r="30">
      <x:c r="A30" s="30"/>
      <x:c r="B30" s="30"/>
      <x:c r="C30" s="30"/>
      <x:c r="D30" s="30"/>
      <x:c r="E30" s="30"/>
      <x:c r="F30" s="30"/>
      <x:c r="G30" s="30"/>
      <x:c r="H30" s="30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bc189b5cffc4cf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25" hidden="0" customWidth="1"/>
    <x:col min="9" max="9" width="48" hidden="0" customWidth="1"/>
  </x:cols>
  <x:sheetData>
    <x:row r="1" ht="34" customHeight="1">
      <x:c r="A1" s="26" t="str">
        <x:v>Canonical Locality</x:v>
      </x:c>
      <x:c r="B1" s="26" t="str">
        <x:v>Official / Common Name</x:v>
      </x:c>
      <x:c r="C1" s="26" t="str">
        <x:v>Active Verified</x:v>
      </x:c>
      <x:c r="D1" s="26" t="str">
        <x:v>Listed Current</x:v>
      </x:c>
      <x:c r="E1" s="26" t="str">
        <x:v>Needs Verification</x:v>
      </x:c>
      <x:c r="F1" s="26" t="str">
        <x:v>Closed / Conflict</x:v>
      </x:c>
      <x:c r="G1" s="26" t="str">
        <x:v>Total Surfaced</x:v>
      </x:c>
      <x:c r="H1" s="26" t="str">
        <x:v>Research Status</x:v>
      </x:c>
      <x:c r="I1" s="26" t="str">
        <x:v>Notes</x:v>
      </x:c>
    </x:row>
    <x:row r="2">
      <x:c r="A2" s="24" t="str">
        <x:v>Adchit</x:v>
      </x:c>
      <x:c r="B2" s="24" t="str">
        <x:v>Aadchit ech Chqif / Adchit</x:v>
      </x:c>
      <x:c r="C2" s="24" t="n">
        <x:f>COUNTIFS('Coffee Shops'!$B$2:$B$129,A2,'Coffee Shops'!$E$2:$E$129,"Active - verified")</x:f>
        <x:v>1</x:v>
      </x:c>
      <x:c r="D2" s="24" t="n">
        <x:f>COUNTIFS('Coffee Shops'!$B$2:$B$129,A2,'Coffee Shops'!$E$2:$E$129,"Listed current")</x:f>
        <x:v>0</x:v>
      </x:c>
      <x:c r="E2" s="24" t="n">
        <x:f>COUNTIFS('Coffee Shops'!$B$2:$B$129,A2,'Coffee Shops'!$E$2:$E$129,"Needs verification")</x:f>
        <x:v>0</x:v>
      </x:c>
      <x:c r="F2" s="24" t="n">
        <x:f>COUNTIFS('Coffee Shops'!$B$2:$B$129,A2,'Coffee Shops'!$E$2:$E$129,"Closed")+COUNTIFS('Coffee Shops'!$B$2:$B$129,A2,'Coffee Shops'!$E$2:$E$129,"Status conflict")</x:f>
        <x:v>0</x:v>
      </x:c>
      <x:c r="G2" s="24" t="n">
        <x:f>SUM(C2:F2)</x:f>
        <x:v>1</x:v>
      </x:c>
      <x:c r="H2" s="24" t="str">
        <x:f>IF(G2=0,"No named public cafe verified","Listings found")</x:f>
        <x:v>Listings found</x:v>
      </x:c>
      <x:c r="I2" s="24" t="str"/>
    </x:row>
    <x:row r="3">
      <x:c r="A3" s="24" t="str">
        <x:v>Ain Qana</x:v>
      </x:c>
      <x:c r="B3" s="24" t="str">
        <x:v>Ain Qana</x:v>
      </x:c>
      <x:c r="C3" s="24" t="n">
        <x:f>COUNTIFS('Coffee Shops'!$B$2:$B$129,A3,'Coffee Shops'!$E$2:$E$129,"Active - verified")</x:f>
        <x:v>0</x:v>
      </x:c>
      <x:c r="D3" s="24" t="n">
        <x:f>COUNTIFS('Coffee Shops'!$B$2:$B$129,A3,'Coffee Shops'!$E$2:$E$129,"Listed current")</x:f>
        <x:v>11</x:v>
      </x:c>
      <x:c r="E3" s="24" t="n">
        <x:f>COUNTIFS('Coffee Shops'!$B$2:$B$129,A3,'Coffee Shops'!$E$2:$E$129,"Needs verification")</x:f>
        <x:v>1</x:v>
      </x:c>
      <x:c r="F3" s="24" t="n">
        <x:f>COUNTIFS('Coffee Shops'!$B$2:$B$129,A3,'Coffee Shops'!$E$2:$E$129,"Closed")+COUNTIFS('Coffee Shops'!$B$2:$B$129,A3,'Coffee Shops'!$E$2:$E$129,"Status conflict")</x:f>
        <x:v>0</x:v>
      </x:c>
      <x:c r="G3" s="24" t="n">
        <x:f>SUM(C3:F3)</x:f>
        <x:v>12</x:v>
      </x:c>
      <x:c r="H3" s="24" t="str">
        <x:f>IF(G3=0,"No named public cafe verified","Listings found")</x:f>
        <x:v>Listings found</x:v>
      </x:c>
      <x:c r="I3" s="24" t="str"/>
    </x:row>
    <x:row r="4">
      <x:c r="A4" s="24" t="str">
        <x:v>Ansar</x:v>
      </x:c>
      <x:c r="B4" s="24" t="str">
        <x:v>Insar / Ansar</x:v>
      </x:c>
      <x:c r="C4" s="24" t="n">
        <x:f>COUNTIFS('Coffee Shops'!$B$2:$B$129,A4,'Coffee Shops'!$E$2:$E$129,"Active - verified")</x:f>
        <x:v>1</x:v>
      </x:c>
      <x:c r="D4" s="24" t="n">
        <x:f>COUNTIFS('Coffee Shops'!$B$2:$B$129,A4,'Coffee Shops'!$E$2:$E$129,"Listed current")</x:f>
        <x:v>3</x:v>
      </x:c>
      <x:c r="E4" s="24" t="n">
        <x:f>COUNTIFS('Coffee Shops'!$B$2:$B$129,A4,'Coffee Shops'!$E$2:$E$129,"Needs verification")</x:f>
        <x:v>2</x:v>
      </x:c>
      <x:c r="F4" s="24" t="n">
        <x:f>COUNTIFS('Coffee Shops'!$B$2:$B$129,A4,'Coffee Shops'!$E$2:$E$129,"Closed")+COUNTIFS('Coffee Shops'!$B$2:$B$129,A4,'Coffee Shops'!$E$2:$E$129,"Status conflict")</x:f>
        <x:v>0</x:v>
      </x:c>
      <x:c r="G4" s="24" t="n">
        <x:f>SUM(C4:F4)</x:f>
        <x:v>6</x:v>
      </x:c>
      <x:c r="H4" s="24" t="str">
        <x:f>IF(G4=0,"No named public cafe verified","Listings found")</x:f>
        <x:v>Listings found</x:v>
      </x:c>
      <x:c r="I4" s="24" t="str"/>
    </x:row>
    <x:row r="5">
      <x:c r="A5" s="24" t="str">
        <x:v>Arabsalim</x:v>
      </x:c>
      <x:c r="B5" s="24" t="str">
        <x:v>Arab Salim</x:v>
      </x:c>
      <x:c r="C5" s="24" t="n">
        <x:f>COUNTIFS('Coffee Shops'!$B$2:$B$129,A5,'Coffee Shops'!$E$2:$E$129,"Active - verified")</x:f>
        <x:v>0</x:v>
      </x:c>
      <x:c r="D5" s="24" t="n">
        <x:f>COUNTIFS('Coffee Shops'!$B$2:$B$129,A5,'Coffee Shops'!$E$2:$E$129,"Listed current")</x:f>
        <x:v>1</x:v>
      </x:c>
      <x:c r="E5" s="24" t="n">
        <x:f>COUNTIFS('Coffee Shops'!$B$2:$B$129,A5,'Coffee Shops'!$E$2:$E$129,"Needs verification")</x:f>
        <x:v>5</x:v>
      </x:c>
      <x:c r="F5" s="24" t="n">
        <x:f>COUNTIFS('Coffee Shops'!$B$2:$B$129,A5,'Coffee Shops'!$E$2:$E$129,"Closed")+COUNTIFS('Coffee Shops'!$B$2:$B$129,A5,'Coffee Shops'!$E$2:$E$129,"Status conflict")</x:f>
        <x:v>1</x:v>
      </x:c>
      <x:c r="G5" s="24" t="n">
        <x:f>SUM(C5:F5)</x:f>
        <x:v>7</x:v>
      </x:c>
      <x:c r="H5" s="24" t="str">
        <x:f>IF(G5=0,"No named public cafe verified","Listings found")</x:f>
        <x:v>Listings found</x:v>
      </x:c>
      <x:c r="I5" s="24" t="str"/>
    </x:row>
    <x:row r="6">
      <x:c r="A6" s="24" t="str">
        <x:v>Arnoun</x:v>
      </x:c>
      <x:c r="B6" s="24" t="str">
        <x:v>Arnoun</x:v>
      </x:c>
      <x:c r="C6" s="24" t="n">
        <x:f>COUNTIFS('Coffee Shops'!$B$2:$B$129,A6,'Coffee Shops'!$E$2:$E$129,"Active - verified")</x:f>
        <x:v>0</x:v>
      </x:c>
      <x:c r="D6" s="24" t="n">
        <x:f>COUNTIFS('Coffee Shops'!$B$2:$B$129,A6,'Coffee Shops'!$E$2:$E$129,"Listed current")</x:f>
        <x:v>0</x:v>
      </x:c>
      <x:c r="E6" s="24" t="n">
        <x:f>COUNTIFS('Coffee Shops'!$B$2:$B$129,A6,'Coffee Shops'!$E$2:$E$129,"Needs verification")</x:f>
        <x:v>0</x:v>
      </x:c>
      <x:c r="F6" s="24" t="n">
        <x:f>COUNTIFS('Coffee Shops'!$B$2:$B$129,A6,'Coffee Shops'!$E$2:$E$129,"Closed")+COUNTIFS('Coffee Shops'!$B$2:$B$129,A6,'Coffee Shops'!$E$2:$E$129,"Status conflict")</x:f>
        <x:v>0</x:v>
      </x:c>
      <x:c r="G6" s="24" t="n">
        <x:f>SUM(C6:F6)</x:f>
        <x:v>0</x:v>
      </x:c>
      <x:c r="H6" s="24" t="str">
        <x:f>IF(G6=0,"No named public cafe verified","Listings found")</x:f>
        <x:v>No named public cafe verified</x:v>
      </x:c>
      <x:c r="I6" s="24" t="str">
        <x:v>No named dedicated café could be verified after exact Arnoun/أرنون coffee/cafe searches.</x:v>
      </x:c>
    </x:row>
    <x:row r="7">
      <x:c r="A7" s="24" t="str">
        <x:v>Bariqaa / Breikaa</x:v>
      </x:c>
      <x:c r="B7" s="24" t="str">
        <x:v>Braiqaa / Bariqaa</x:v>
      </x:c>
      <x:c r="C7" s="24" t="n">
        <x:f>COUNTIFS('Coffee Shops'!$B$2:$B$129,A7,'Coffee Shops'!$E$2:$E$129,"Active - verified")</x:f>
        <x:v>1</x:v>
      </x:c>
      <x:c r="D7" s="24" t="n">
        <x:f>COUNTIFS('Coffee Shops'!$B$2:$B$129,A7,'Coffee Shops'!$E$2:$E$129,"Listed current")</x:f>
        <x:v>0</x:v>
      </x:c>
      <x:c r="E7" s="24" t="n">
        <x:f>COUNTIFS('Coffee Shops'!$B$2:$B$129,A7,'Coffee Shops'!$E$2:$E$129,"Needs verification")</x:f>
        <x:v>0</x:v>
      </x:c>
      <x:c r="F7" s="24" t="n">
        <x:f>COUNTIFS('Coffee Shops'!$B$2:$B$129,A7,'Coffee Shops'!$E$2:$E$129,"Closed")+COUNTIFS('Coffee Shops'!$B$2:$B$129,A7,'Coffee Shops'!$E$2:$E$129,"Status conflict")</x:f>
        <x:v>0</x:v>
      </x:c>
      <x:c r="G7" s="24" t="n">
        <x:f>SUM(C7:F7)</x:f>
        <x:v>1</x:v>
      </x:c>
      <x:c r="H7" s="24" t="str">
        <x:f>IF(G7=0,"No named public cafe verified","Listings found")</x:f>
        <x:v>Listings found</x:v>
      </x:c>
      <x:c r="I7" s="24" t="str"/>
    </x:row>
    <x:row r="8">
      <x:c r="A8" s="24" t="str">
        <x:v>Al-Sharqiya</x:v>
      </x:c>
      <x:c r="B8" s="24" t="str">
        <x:v>Charqiye / Al-Sharqiya</x:v>
      </x:c>
      <x:c r="C8" s="24" t="n">
        <x:f>COUNTIFS('Coffee Shops'!$B$2:$B$129,A8,'Coffee Shops'!$E$2:$E$129,"Active - verified")</x:f>
        <x:v>2</x:v>
      </x:c>
      <x:c r="D8" s="24" t="n">
        <x:f>COUNTIFS('Coffee Shops'!$B$2:$B$129,A8,'Coffee Shops'!$E$2:$E$129,"Listed current")</x:f>
        <x:v>0</x:v>
      </x:c>
      <x:c r="E8" s="24" t="n">
        <x:f>COUNTIFS('Coffee Shops'!$B$2:$B$129,A8,'Coffee Shops'!$E$2:$E$129,"Needs verification")</x:f>
        <x:v>0</x:v>
      </x:c>
      <x:c r="F8" s="24" t="n">
        <x:f>COUNTIFS('Coffee Shops'!$B$2:$B$129,A8,'Coffee Shops'!$E$2:$E$129,"Closed")+COUNTIFS('Coffee Shops'!$B$2:$B$129,A8,'Coffee Shops'!$E$2:$E$129,"Status conflict")</x:f>
        <x:v>0</x:v>
      </x:c>
      <x:c r="G8" s="24" t="n">
        <x:f>SUM(C8:F8)</x:f>
        <x:v>2</x:v>
      </x:c>
      <x:c r="H8" s="24" t="str">
        <x:f>IF(G8=0,"No named public cafe verified","Listings found")</x:f>
        <x:v>Listings found</x:v>
      </x:c>
      <x:c r="I8" s="24" t="str"/>
    </x:row>
    <x:row r="9">
      <x:c r="A9" s="24" t="str">
        <x:v>Choukeen</x:v>
      </x:c>
      <x:c r="B9" s="24" t="str">
        <x:v>Choukine / Choukeen</x:v>
      </x:c>
      <x:c r="C9" s="24" t="n">
        <x:f>COUNTIFS('Coffee Shops'!$B$2:$B$129,A9,'Coffee Shops'!$E$2:$E$129,"Active - verified")</x:f>
        <x:v>0</x:v>
      </x:c>
      <x:c r="D9" s="24" t="n">
        <x:f>COUNTIFS('Coffee Shops'!$B$2:$B$129,A9,'Coffee Shops'!$E$2:$E$129,"Listed current")</x:f>
        <x:v>0</x:v>
      </x:c>
      <x:c r="E9" s="24" t="n">
        <x:f>COUNTIFS('Coffee Shops'!$B$2:$B$129,A9,'Coffee Shops'!$E$2:$E$129,"Needs verification")</x:f>
        <x:v>0</x:v>
      </x:c>
      <x:c r="F9" s="24" t="n">
        <x:f>COUNTIFS('Coffee Shops'!$B$2:$B$129,A9,'Coffee Shops'!$E$2:$E$129,"Closed")+COUNTIFS('Coffee Shops'!$B$2:$B$129,A9,'Coffee Shops'!$E$2:$E$129,"Status conflict")</x:f>
        <x:v>0</x:v>
      </x:c>
      <x:c r="G9" s="24" t="n">
        <x:f>SUM(C9:F9)</x:f>
        <x:v>0</x:v>
      </x:c>
      <x:c r="H9" s="24" t="str">
        <x:f>IF(G9=0,"No named public cafe verified","Listings found")</x:f>
        <x:v>No named public cafe verified</x:v>
      </x:c>
      <x:c r="I9" s="24" t="str">
        <x:v>No named dedicated café verified in the current exact English/Arabic search.</x:v>
      </x:c>
    </x:row>
    <x:row r="10">
      <x:c r="A10" s="24" t="str">
        <x:v>Deir Al-Zahrani</x:v>
      </x:c>
      <x:c r="B10" s="24" t="str">
        <x:v>Deir ez Zahrani</x:v>
      </x:c>
      <x:c r="C10" s="24" t="n">
        <x:f>COUNTIFS('Coffee Shops'!$B$2:$B$129,A10,'Coffee Shops'!$E$2:$E$129,"Active - verified")</x:f>
        <x:v>2</x:v>
      </x:c>
      <x:c r="D10" s="24" t="n">
        <x:f>COUNTIFS('Coffee Shops'!$B$2:$B$129,A10,'Coffee Shops'!$E$2:$E$129,"Listed current")</x:f>
        <x:v>1</x:v>
      </x:c>
      <x:c r="E10" s="24" t="n">
        <x:f>COUNTIFS('Coffee Shops'!$B$2:$B$129,A10,'Coffee Shops'!$E$2:$E$129,"Needs verification")</x:f>
        <x:v>0</x:v>
      </x:c>
      <x:c r="F10" s="24" t="n">
        <x:f>COUNTIFS('Coffee Shops'!$B$2:$B$129,A10,'Coffee Shops'!$E$2:$E$129,"Closed")+COUNTIFS('Coffee Shops'!$B$2:$B$129,A10,'Coffee Shops'!$E$2:$E$129,"Status conflict")</x:f>
        <x:v>0</x:v>
      </x:c>
      <x:c r="G10" s="24" t="n">
        <x:f>SUM(C10:F10)</x:f>
        <x:v>3</x:v>
      </x:c>
      <x:c r="H10" s="24" t="str">
        <x:f>IF(G10=0,"No named public cafe verified","Listings found")</x:f>
        <x:v>Listings found</x:v>
      </x:c>
      <x:c r="I10" s="24" t="str"/>
    </x:row>
    <x:row r="11">
      <x:c r="A11" s="24" t="str">
        <x:v>Doueir</x:v>
      </x:c>
      <x:c r="B11" s="24" t="str">
        <x:v>Doueir El Nabatieh</x:v>
      </x:c>
      <x:c r="C11" s="24" t="n">
        <x:f>COUNTIFS('Coffee Shops'!$B$2:$B$129,A11,'Coffee Shops'!$E$2:$E$129,"Active - verified")</x:f>
        <x:v>2</x:v>
      </x:c>
      <x:c r="D11" s="24" t="n">
        <x:f>COUNTIFS('Coffee Shops'!$B$2:$B$129,A11,'Coffee Shops'!$E$2:$E$129,"Listed current")</x:f>
        <x:v>0</x:v>
      </x:c>
      <x:c r="E11" s="24" t="n">
        <x:f>COUNTIFS('Coffee Shops'!$B$2:$B$129,A11,'Coffee Shops'!$E$2:$E$129,"Needs verification")</x:f>
        <x:v>0</x:v>
      </x:c>
      <x:c r="F11" s="24" t="n">
        <x:f>COUNTIFS('Coffee Shops'!$B$2:$B$129,A11,'Coffee Shops'!$E$2:$E$129,"Closed")+COUNTIFS('Coffee Shops'!$B$2:$B$129,A11,'Coffee Shops'!$E$2:$E$129,"Status conflict")</x:f>
        <x:v>0</x:v>
      </x:c>
      <x:c r="G11" s="24" t="n">
        <x:f>SUM(C11:F11)</x:f>
        <x:v>2</x:v>
      </x:c>
      <x:c r="H11" s="24" t="str">
        <x:f>IF(G11=0,"No named public cafe verified","Listings found")</x:f>
        <x:v>Listings found</x:v>
      </x:c>
      <x:c r="I11" s="24" t="str"/>
    </x:row>
    <x:row r="12">
      <x:c r="A12" s="24" t="str">
        <x:v>Aaba / Ebba</x:v>
      </x:c>
      <x:c r="B12" s="24" t="str">
        <x:v>Aabba / Aaba</x:v>
      </x:c>
      <x:c r="C12" s="24" t="n">
        <x:f>COUNTIFS('Coffee Shops'!$B$2:$B$129,A12,'Coffee Shops'!$E$2:$E$129,"Active - verified")</x:f>
        <x:v>0</x:v>
      </x:c>
      <x:c r="D12" s="24" t="n">
        <x:f>COUNTIFS('Coffee Shops'!$B$2:$B$129,A12,'Coffee Shops'!$E$2:$E$129,"Listed current")</x:f>
        <x:v>0</x:v>
      </x:c>
      <x:c r="E12" s="24" t="n">
        <x:f>COUNTIFS('Coffee Shops'!$B$2:$B$129,A12,'Coffee Shops'!$E$2:$E$129,"Needs verification")</x:f>
        <x:v>0</x:v>
      </x:c>
      <x:c r="F12" s="24" t="n">
        <x:f>COUNTIFS('Coffee Shops'!$B$2:$B$129,A12,'Coffee Shops'!$E$2:$E$129,"Closed")+COUNTIFS('Coffee Shops'!$B$2:$B$129,A12,'Coffee Shops'!$E$2:$E$129,"Status conflict")</x:f>
        <x:v>0</x:v>
      </x:c>
      <x:c r="G12" s="24" t="n">
        <x:f>SUM(C12:F12)</x:f>
        <x:v>0</x:v>
      </x:c>
      <x:c r="H12" s="24" t="str">
        <x:f>IF(G12=0,"No named public cafe verified","Listings found")</x:f>
        <x:v>No named public cafe verified</x:v>
      </x:c>
      <x:c r="I12" s="24" t="str">
        <x:v>No named dedicated café verified in the current exact English/Arabic search.</x:v>
      </x:c>
    </x:row>
    <x:row r="13">
      <x:c r="A13" s="24" t="str">
        <x:v>Habbouch</x:v>
      </x:c>
      <x:c r="B13" s="24" t="str">
        <x:v>Habbouch</x:v>
      </x:c>
      <x:c r="C13" s="24" t="n">
        <x:f>COUNTIFS('Coffee Shops'!$B$2:$B$129,A13,'Coffee Shops'!$E$2:$E$129,"Active - verified")</x:f>
        <x:v>6</x:v>
      </x:c>
      <x:c r="D13" s="24" t="n">
        <x:f>COUNTIFS('Coffee Shops'!$B$2:$B$129,A13,'Coffee Shops'!$E$2:$E$129,"Listed current")</x:f>
        <x:v>3</x:v>
      </x:c>
      <x:c r="E13" s="24" t="n">
        <x:f>COUNTIFS('Coffee Shops'!$B$2:$B$129,A13,'Coffee Shops'!$E$2:$E$129,"Needs verification")</x:f>
        <x:v>3</x:v>
      </x:c>
      <x:c r="F13" s="24" t="n">
        <x:f>COUNTIFS('Coffee Shops'!$B$2:$B$129,A13,'Coffee Shops'!$E$2:$E$129,"Closed")+COUNTIFS('Coffee Shops'!$B$2:$B$129,A13,'Coffee Shops'!$E$2:$E$129,"Status conflict")</x:f>
        <x:v>0</x:v>
      </x:c>
      <x:c r="G13" s="24" t="n">
        <x:f>SUM(C13:F13)</x:f>
        <x:v>12</x:v>
      </x:c>
      <x:c r="H13" s="24" t="str">
        <x:f>IF(G13=0,"No named public cafe verified","Listings found")</x:f>
        <x:v>Listings found</x:v>
      </x:c>
      <x:c r="I13" s="24" t="str"/>
    </x:row>
    <x:row r="14">
      <x:c r="A14" s="24" t="str">
        <x:v>Harouf</x:v>
      </x:c>
      <x:c r="B14" s="24" t="str">
        <x:v>Harouf Nabatieh</x:v>
      </x:c>
      <x:c r="C14" s="24" t="n">
        <x:f>COUNTIFS('Coffee Shops'!$B$2:$B$129,A14,'Coffee Shops'!$E$2:$E$129,"Active - verified")</x:f>
        <x:v>1</x:v>
      </x:c>
      <x:c r="D14" s="24" t="n">
        <x:f>COUNTIFS('Coffee Shops'!$B$2:$B$129,A14,'Coffee Shops'!$E$2:$E$129,"Listed current")</x:f>
        <x:v>0</x:v>
      </x:c>
      <x:c r="E14" s="24" t="n">
        <x:f>COUNTIFS('Coffee Shops'!$B$2:$B$129,A14,'Coffee Shops'!$E$2:$E$129,"Needs verification")</x:f>
        <x:v>0</x:v>
      </x:c>
      <x:c r="F14" s="24" t="n">
        <x:f>COUNTIFS('Coffee Shops'!$B$2:$B$129,A14,'Coffee Shops'!$E$2:$E$129,"Closed")+COUNTIFS('Coffee Shops'!$B$2:$B$129,A14,'Coffee Shops'!$E$2:$E$129,"Status conflict")</x:f>
        <x:v>0</x:v>
      </x:c>
      <x:c r="G14" s="24" t="n">
        <x:f>SUM(C14:F14)</x:f>
        <x:v>1</x:v>
      </x:c>
      <x:c r="H14" s="24" t="str">
        <x:f>IF(G14=0,"No named public cafe verified","Listings found")</x:f>
        <x:v>Listings found</x:v>
      </x:c>
      <x:c r="I14" s="24" t="str"/>
    </x:row>
    <x:row r="15">
      <x:c r="A15" s="24" t="str">
        <x:v>Houmine Al-Fawqa</x:v>
      </x:c>
      <x:c r="B15" s="24" t="str">
        <x:v>Houmine el Faouqa</x:v>
      </x:c>
      <x:c r="C15" s="24" t="n">
        <x:f>COUNTIFS('Coffee Shops'!$B$2:$B$129,A15,'Coffee Shops'!$E$2:$E$129,"Active - verified")</x:f>
        <x:v>2</x:v>
      </x:c>
      <x:c r="D15" s="24" t="n">
        <x:f>COUNTIFS('Coffee Shops'!$B$2:$B$129,A15,'Coffee Shops'!$E$2:$E$129,"Listed current")</x:f>
        <x:v>0</x:v>
      </x:c>
      <x:c r="E15" s="24" t="n">
        <x:f>COUNTIFS('Coffee Shops'!$B$2:$B$129,A15,'Coffee Shops'!$E$2:$E$129,"Needs verification")</x:f>
        <x:v>1</x:v>
      </x:c>
      <x:c r="F15" s="24" t="n">
        <x:f>COUNTIFS('Coffee Shops'!$B$2:$B$129,A15,'Coffee Shops'!$E$2:$E$129,"Closed")+COUNTIFS('Coffee Shops'!$B$2:$B$129,A15,'Coffee Shops'!$E$2:$E$129,"Status conflict")</x:f>
        <x:v>0</x:v>
      </x:c>
      <x:c r="G15" s="24" t="n">
        <x:f>SUM(C15:F15)</x:f>
        <x:v>3</x:v>
      </x:c>
      <x:c r="H15" s="24" t="str">
        <x:f>IF(G15=0,"No named public cafe verified","Listings found")</x:f>
        <x:v>Listings found</x:v>
      </x:c>
      <x:c r="I15" s="24" t="str"/>
    </x:row>
    <x:row r="16">
      <x:c r="A16" s="24" t="str">
        <x:v>Houmine Al-Tahta</x:v>
      </x:c>
      <x:c r="B16" s="24" t="str">
        <x:v>Houmine et Tahta</x:v>
      </x:c>
      <x:c r="C16" s="24" t="n">
        <x:f>COUNTIFS('Coffee Shops'!$B$2:$B$129,A16,'Coffee Shops'!$E$2:$E$129,"Active - verified")</x:f>
        <x:v>0</x:v>
      </x:c>
      <x:c r="D16" s="24" t="n">
        <x:f>COUNTIFS('Coffee Shops'!$B$2:$B$129,A16,'Coffee Shops'!$E$2:$E$129,"Listed current")</x:f>
        <x:v>0</x:v>
      </x:c>
      <x:c r="E16" s="24" t="n">
        <x:f>COUNTIFS('Coffee Shops'!$B$2:$B$129,A16,'Coffee Shops'!$E$2:$E$129,"Needs verification")</x:f>
        <x:v>0</x:v>
      </x:c>
      <x:c r="F16" s="24" t="n">
        <x:f>COUNTIFS('Coffee Shops'!$B$2:$B$129,A16,'Coffee Shops'!$E$2:$E$129,"Closed")+COUNTIFS('Coffee Shops'!$B$2:$B$129,A16,'Coffee Shops'!$E$2:$E$129,"Status conflict")</x:f>
        <x:v>0</x:v>
      </x:c>
      <x:c r="G16" s="24" t="n">
        <x:f>SUM(C16:F16)</x:f>
        <x:v>0</x:v>
      </x:c>
      <x:c r="H16" s="24" t="str">
        <x:f>IF(G16=0,"No named public cafe verified","Listings found")</x:f>
        <x:v>No named public cafe verified</x:v>
      </x:c>
      <x:c r="I16" s="24" t="str">
        <x:v>No dedicated named café securely tied to Houmine El-Tahta.</x:v>
      </x:c>
    </x:row>
    <x:row r="17">
      <x:c r="A17" s="24" t="str">
        <x:v>Jarjouh / Jargea</x:v>
      </x:c>
      <x:c r="B17" s="24" t="str">
        <x:v>Jarjouaa / Jarjouh</x:v>
      </x:c>
      <x:c r="C17" s="24" t="n">
        <x:f>COUNTIFS('Coffee Shops'!$B$2:$B$129,A17,'Coffee Shops'!$E$2:$E$129,"Active - verified")</x:f>
        <x:v>0</x:v>
      </x:c>
      <x:c r="D17" s="24" t="n">
        <x:f>COUNTIFS('Coffee Shops'!$B$2:$B$129,A17,'Coffee Shops'!$E$2:$E$129,"Listed current")</x:f>
        <x:v>0</x:v>
      </x:c>
      <x:c r="E17" s="24" t="n">
        <x:f>COUNTIFS('Coffee Shops'!$B$2:$B$129,A17,'Coffee Shops'!$E$2:$E$129,"Needs verification")</x:f>
        <x:v>0</x:v>
      </x:c>
      <x:c r="F17" s="24" t="n">
        <x:f>COUNTIFS('Coffee Shops'!$B$2:$B$129,A17,'Coffee Shops'!$E$2:$E$129,"Closed")+COUNTIFS('Coffee Shops'!$B$2:$B$129,A17,'Coffee Shops'!$E$2:$E$129,"Status conflict")</x:f>
        <x:v>0</x:v>
      </x:c>
      <x:c r="G17" s="24" t="n">
        <x:f>SUM(C17:F17)</x:f>
        <x:v>0</x:v>
      </x:c>
      <x:c r="H17" s="24" t="str">
        <x:f>IF(G17=0,"No named public cafe verified","Listings found")</x:f>
        <x:v>No named public cafe verified</x:v>
      </x:c>
      <x:c r="I17" s="24" t="str">
        <x:v>No dedicated named café verified.</x:v>
      </x:c>
    </x:row>
    <x:row r="18">
      <x:c r="A18" s="24" t="str">
        <x:v>Jbaa–Ain Bouswar</x:v>
      </x:c>
      <x:c r="B18" s="24" t="str">
        <x:v>Jbaa El Nabatieh / Mazraat Ain Bou Souar</x:v>
      </x:c>
      <x:c r="C18" s="24" t="n">
        <x:f>COUNTIFS('Coffee Shops'!$B$2:$B$129,A18,'Coffee Shops'!$E$2:$E$129,"Active - verified")</x:f>
        <x:v>2</x:v>
      </x:c>
      <x:c r="D18" s="24" t="n">
        <x:f>COUNTIFS('Coffee Shops'!$B$2:$B$129,A18,'Coffee Shops'!$E$2:$E$129,"Listed current")</x:f>
        <x:v>0</x:v>
      </x:c>
      <x:c r="E18" s="24" t="n">
        <x:f>COUNTIFS('Coffee Shops'!$B$2:$B$129,A18,'Coffee Shops'!$E$2:$E$129,"Needs verification")</x:f>
        <x:v>0</x:v>
      </x:c>
      <x:c r="F18" s="24" t="n">
        <x:f>COUNTIFS('Coffee Shops'!$B$2:$B$129,A18,'Coffee Shops'!$E$2:$E$129,"Closed")+COUNTIFS('Coffee Shops'!$B$2:$B$129,A18,'Coffee Shops'!$E$2:$E$129,"Status conflict")</x:f>
        <x:v>0</x:v>
      </x:c>
      <x:c r="G18" s="24" t="n">
        <x:f>SUM(C18:F18)</x:f>
        <x:v>2</x:v>
      </x:c>
      <x:c r="H18" s="24" t="str">
        <x:f>IF(G18=0,"No named public cafe verified","Listings found")</x:f>
        <x:v>Listings found</x:v>
      </x:c>
      <x:c r="I18" s="24" t="str"/>
    </x:row>
    <x:row r="19">
      <x:c r="A19" s="24" t="str">
        <x:v>Jibchit</x:v>
      </x:c>
      <x:c r="B19" s="24" t="str">
        <x:v>Jibchit</x:v>
      </x:c>
      <x:c r="C19" s="24" t="n">
        <x:f>COUNTIFS('Coffee Shops'!$B$2:$B$129,A19,'Coffee Shops'!$E$2:$E$129,"Active - verified")</x:f>
        <x:v>0</x:v>
      </x:c>
      <x:c r="D19" s="24" t="n">
        <x:f>COUNTIFS('Coffee Shops'!$B$2:$B$129,A19,'Coffee Shops'!$E$2:$E$129,"Listed current")</x:f>
        <x:v>1</x:v>
      </x:c>
      <x:c r="E19" s="24" t="n">
        <x:f>COUNTIFS('Coffee Shops'!$B$2:$B$129,A19,'Coffee Shops'!$E$2:$E$129,"Needs verification")</x:f>
        <x:v>0</x:v>
      </x:c>
      <x:c r="F19" s="24" t="n">
        <x:f>COUNTIFS('Coffee Shops'!$B$2:$B$129,A19,'Coffee Shops'!$E$2:$E$129,"Closed")+COUNTIFS('Coffee Shops'!$B$2:$B$129,A19,'Coffee Shops'!$E$2:$E$129,"Status conflict")</x:f>
        <x:v>0</x:v>
      </x:c>
      <x:c r="G19" s="24" t="n">
        <x:f>SUM(C19:F19)</x:f>
        <x:v>1</x:v>
      </x:c>
      <x:c r="H19" s="24" t="str">
        <x:f>IF(G19=0,"No named public cafe verified","Listings found")</x:f>
        <x:v>Listings found</x:v>
      </x:c>
      <x:c r="I19" s="24" t="str"/>
    </x:row>
    <x:row r="20">
      <x:c r="A20" s="24" t="str">
        <x:v>Kaakaiyet Al-Jisr</x:v>
      </x:c>
      <x:c r="B20" s="24" t="str">
        <x:v>Qaaqaaiyet ej Jisr</x:v>
      </x:c>
      <x:c r="C20" s="24" t="n">
        <x:f>COUNTIFS('Coffee Shops'!$B$2:$B$129,A20,'Coffee Shops'!$E$2:$E$129,"Active - verified")</x:f>
        <x:v>0</x:v>
      </x:c>
      <x:c r="D20" s="24" t="n">
        <x:f>COUNTIFS('Coffee Shops'!$B$2:$B$129,A20,'Coffee Shops'!$E$2:$E$129,"Listed current")</x:f>
        <x:v>2</x:v>
      </x:c>
      <x:c r="E20" s="24" t="n">
        <x:f>COUNTIFS('Coffee Shops'!$B$2:$B$129,A20,'Coffee Shops'!$E$2:$E$129,"Needs verification")</x:f>
        <x:v>0</x:v>
      </x:c>
      <x:c r="F20" s="24" t="n">
        <x:f>COUNTIFS('Coffee Shops'!$B$2:$B$129,A20,'Coffee Shops'!$E$2:$E$129,"Closed")+COUNTIFS('Coffee Shops'!$B$2:$B$129,A20,'Coffee Shops'!$E$2:$E$129,"Status conflict")</x:f>
        <x:v>0</x:v>
      </x:c>
      <x:c r="G20" s="24" t="n">
        <x:f>SUM(C20:F20)</x:f>
        <x:v>2</x:v>
      </x:c>
      <x:c r="H20" s="24" t="str">
        <x:f>IF(G20=0,"No named public cafe verified","Listings found")</x:f>
        <x:v>Listings found</x:v>
      </x:c>
      <x:c r="I20" s="24" t="str"/>
    </x:row>
    <x:row r="21">
      <x:c r="A21" s="24" t="str">
        <x:v>Kafr Fila</x:v>
      </x:c>
      <x:c r="B21" s="24" t="str">
        <x:v>Kfar Fila</x:v>
      </x:c>
      <x:c r="C21" s="24" t="n">
        <x:f>COUNTIFS('Coffee Shops'!$B$2:$B$129,A21,'Coffee Shops'!$E$2:$E$129,"Active - verified")</x:f>
        <x:v>0</x:v>
      </x:c>
      <x:c r="D21" s="24" t="n">
        <x:f>COUNTIFS('Coffee Shops'!$B$2:$B$129,A21,'Coffee Shops'!$E$2:$E$129,"Listed current")</x:f>
        <x:v>0</x:v>
      </x:c>
      <x:c r="E21" s="24" t="n">
        <x:f>COUNTIFS('Coffee Shops'!$B$2:$B$129,A21,'Coffee Shops'!$E$2:$E$129,"Needs verification")</x:f>
        <x:v>0</x:v>
      </x:c>
      <x:c r="F21" s="24" t="n">
        <x:f>COUNTIFS('Coffee Shops'!$B$2:$B$129,A21,'Coffee Shops'!$E$2:$E$129,"Closed")+COUNTIFS('Coffee Shops'!$B$2:$B$129,A21,'Coffee Shops'!$E$2:$E$129,"Status conflict")</x:f>
        <x:v>0</x:v>
      </x:c>
      <x:c r="G21" s="24" t="n">
        <x:f>SUM(C21:F21)</x:f>
        <x:v>0</x:v>
      </x:c>
      <x:c r="H21" s="24" t="str">
        <x:f>IF(G21=0,"No named public cafe verified","Listings found")</x:f>
        <x:v>No named public cafe verified</x:v>
      </x:c>
      <x:c r="I21" s="24" t="str">
        <x:v>No current dedicated named café verified.</x:v>
      </x:c>
    </x:row>
    <x:row r="22">
      <x:c r="A22" s="24" t="str">
        <x:v>Kafr Roummane</x:v>
      </x:c>
      <x:c r="B22" s="24" t="str">
        <x:v>Kfar Roummane</x:v>
      </x:c>
      <x:c r="C22" s="24" t="n">
        <x:f>COUNTIFS('Coffee Shops'!$B$2:$B$129,A22,'Coffee Shops'!$E$2:$E$129,"Active - verified")</x:f>
        <x:v>2</x:v>
      </x:c>
      <x:c r="D22" s="24" t="n">
        <x:f>COUNTIFS('Coffee Shops'!$B$2:$B$129,A22,'Coffee Shops'!$E$2:$E$129,"Listed current")</x:f>
        <x:v>0</x:v>
      </x:c>
      <x:c r="E22" s="24" t="n">
        <x:f>COUNTIFS('Coffee Shops'!$B$2:$B$129,A22,'Coffee Shops'!$E$2:$E$129,"Needs verification")</x:f>
        <x:v>0</x:v>
      </x:c>
      <x:c r="F22" s="24" t="n">
        <x:f>COUNTIFS('Coffee Shops'!$B$2:$B$129,A22,'Coffee Shops'!$E$2:$E$129,"Closed")+COUNTIFS('Coffee Shops'!$B$2:$B$129,A22,'Coffee Shops'!$E$2:$E$129,"Status conflict")</x:f>
        <x:v>1</x:v>
      </x:c>
      <x:c r="G22" s="24" t="n">
        <x:f>SUM(C22:F22)</x:f>
        <x:v>3</x:v>
      </x:c>
      <x:c r="H22" s="24" t="str">
        <x:f>IF(G22=0,"No named public cafe verified","Listings found")</x:f>
        <x:v>Listings found</x:v>
      </x:c>
      <x:c r="I22" s="24" t="str"/>
    </x:row>
    <x:row r="23">
      <x:c r="A23" s="24" t="str">
        <x:v>Kafr Sir</x:v>
      </x:c>
      <x:c r="B23" s="24" t="str">
        <x:v>Kfar Sir</x:v>
      </x:c>
      <x:c r="C23" s="24" t="n">
        <x:f>COUNTIFS('Coffee Shops'!$B$2:$B$129,A23,'Coffee Shops'!$E$2:$E$129,"Active - verified")</x:f>
        <x:v>5</x:v>
      </x:c>
      <x:c r="D23" s="24" t="n">
        <x:f>COUNTIFS('Coffee Shops'!$B$2:$B$129,A23,'Coffee Shops'!$E$2:$E$129,"Listed current")</x:f>
        <x:v>0</x:v>
      </x:c>
      <x:c r="E23" s="24" t="n">
        <x:f>COUNTIFS('Coffee Shops'!$B$2:$B$129,A23,'Coffee Shops'!$E$2:$E$129,"Needs verification")</x:f>
        <x:v>0</x:v>
      </x:c>
      <x:c r="F23" s="24" t="n">
        <x:f>COUNTIFS('Coffee Shops'!$B$2:$B$129,A23,'Coffee Shops'!$E$2:$E$129,"Closed")+COUNTIFS('Coffee Shops'!$B$2:$B$129,A23,'Coffee Shops'!$E$2:$E$129,"Status conflict")</x:f>
        <x:v>0</x:v>
      </x:c>
      <x:c r="G23" s="24" t="n">
        <x:f>SUM(C23:F23)</x:f>
        <x:v>5</x:v>
      </x:c>
      <x:c r="H23" s="24" t="str">
        <x:f>IF(G23=0,"No named public cafe verified","Listings found")</x:f>
        <x:v>Listings found</x:v>
      </x:c>
      <x:c r="I23" s="24" t="str"/>
    </x:row>
    <x:row r="24">
      <x:c r="A24" s="24" t="str">
        <x:v>Kafr Tibnit</x:v>
      </x:c>
      <x:c r="B24" s="24" t="str">
        <x:v>Kfar Tebnit</x:v>
      </x:c>
      <x:c r="C24" s="24" t="n">
        <x:f>COUNTIFS('Coffee Shops'!$B$2:$B$129,A24,'Coffee Shops'!$E$2:$E$129,"Active - verified")</x:f>
        <x:v>0</x:v>
      </x:c>
      <x:c r="D24" s="24" t="n">
        <x:f>COUNTIFS('Coffee Shops'!$B$2:$B$129,A24,'Coffee Shops'!$E$2:$E$129,"Listed current")</x:f>
        <x:v>0</x:v>
      </x:c>
      <x:c r="E24" s="24" t="n">
        <x:f>COUNTIFS('Coffee Shops'!$B$2:$B$129,A24,'Coffee Shops'!$E$2:$E$129,"Needs verification")</x:f>
        <x:v>0</x:v>
      </x:c>
      <x:c r="F24" s="24" t="n">
        <x:f>COUNTIFS('Coffee Shops'!$B$2:$B$129,A24,'Coffee Shops'!$E$2:$E$129,"Closed")+COUNTIFS('Coffee Shops'!$B$2:$B$129,A24,'Coffee Shops'!$E$2:$E$129,"Status conflict")</x:f>
        <x:v>0</x:v>
      </x:c>
      <x:c r="G24" s="24" t="n">
        <x:f>SUM(C24:F24)</x:f>
        <x:v>0</x:v>
      </x:c>
      <x:c r="H24" s="24" t="str">
        <x:f>IF(G24=0,"No named public cafe verified","Listings found")</x:f>
        <x:v>No named public cafe verified</x:v>
      </x:c>
      <x:c r="I24" s="24" t="str">
        <x:v>No current dedicated named café verified.</x:v>
      </x:c>
    </x:row>
    <x:row r="25">
      <x:c r="A25" s="24" t="str">
        <x:v>Al-Kfour</x:v>
      </x:c>
      <x:c r="B25" s="24" t="str">
        <x:v>Kfour El Nabatieh</x:v>
      </x:c>
      <x:c r="C25" s="24" t="n">
        <x:f>COUNTIFS('Coffee Shops'!$B$2:$B$129,A25,'Coffee Shops'!$E$2:$E$129,"Active - verified")</x:f>
        <x:v>0</x:v>
      </x:c>
      <x:c r="D25" s="24" t="n">
        <x:f>COUNTIFS('Coffee Shops'!$B$2:$B$129,A25,'Coffee Shops'!$E$2:$E$129,"Listed current")</x:f>
        <x:v>1</x:v>
      </x:c>
      <x:c r="E25" s="24" t="n">
        <x:f>COUNTIFS('Coffee Shops'!$B$2:$B$129,A25,'Coffee Shops'!$E$2:$E$129,"Needs verification")</x:f>
        <x:v>0</x:v>
      </x:c>
      <x:c r="F25" s="24" t="n">
        <x:f>COUNTIFS('Coffee Shops'!$B$2:$B$129,A25,'Coffee Shops'!$E$2:$E$129,"Closed")+COUNTIFS('Coffee Shops'!$B$2:$B$129,A25,'Coffee Shops'!$E$2:$E$129,"Status conflict")</x:f>
        <x:v>0</x:v>
      </x:c>
      <x:c r="G25" s="24" t="n">
        <x:f>SUM(C25:F25)</x:f>
        <x:v>1</x:v>
      </x:c>
      <x:c r="H25" s="24" t="str">
        <x:f>IF(G25=0,"No named public cafe verified","Listings found")</x:f>
        <x:v>Listings found</x:v>
      </x:c>
      <x:c r="I25" s="24" t="str"/>
    </x:row>
    <x:row r="26">
      <x:c r="A26" s="24" t="str">
        <x:v>Al-Qsaybeh</x:v>
      </x:c>
      <x:c r="B26" s="24" t="str">
        <x:v>Qsaibe El Nabatieh</x:v>
      </x:c>
      <x:c r="C26" s="24" t="n">
        <x:f>COUNTIFS('Coffee Shops'!$B$2:$B$129,A26,'Coffee Shops'!$E$2:$E$129,"Active - verified")</x:f>
        <x:v>1</x:v>
      </x:c>
      <x:c r="D26" s="24" t="n">
        <x:f>COUNTIFS('Coffee Shops'!$B$2:$B$129,A26,'Coffee Shops'!$E$2:$E$129,"Listed current")</x:f>
        <x:v>0</x:v>
      </x:c>
      <x:c r="E26" s="24" t="n">
        <x:f>COUNTIFS('Coffee Shops'!$B$2:$B$129,A26,'Coffee Shops'!$E$2:$E$129,"Needs verification")</x:f>
        <x:v>1</x:v>
      </x:c>
      <x:c r="F26" s="24" t="n">
        <x:f>COUNTIFS('Coffee Shops'!$B$2:$B$129,A26,'Coffee Shops'!$E$2:$E$129,"Closed")+COUNTIFS('Coffee Shops'!$B$2:$B$129,A26,'Coffee Shops'!$E$2:$E$129,"Status conflict")</x:f>
        <x:v>0</x:v>
      </x:c>
      <x:c r="G26" s="24" t="n">
        <x:f>SUM(C26:F26)</x:f>
        <x:v>2</x:v>
      </x:c>
      <x:c r="H26" s="24" t="str">
        <x:f>IF(G26=0,"No named public cafe verified","Listings found")</x:f>
        <x:v>Listings found</x:v>
      </x:c>
      <x:c r="I26" s="24" t="str"/>
    </x:row>
    <x:row r="27">
      <x:c r="A27" s="24" t="str">
        <x:v>Mayfadoun</x:v>
      </x:c>
      <x:c r="B27" s="24" t="str">
        <x:v>Maifadoun / Mayfadoun</x:v>
      </x:c>
      <x:c r="C27" s="24" t="n">
        <x:f>COUNTIFS('Coffee Shops'!$B$2:$B$129,A27,'Coffee Shops'!$E$2:$E$129,"Active - verified")</x:f>
        <x:v>0</x:v>
      </x:c>
      <x:c r="D27" s="24" t="n">
        <x:f>COUNTIFS('Coffee Shops'!$B$2:$B$129,A27,'Coffee Shops'!$E$2:$E$129,"Listed current")</x:f>
        <x:v>0</x:v>
      </x:c>
      <x:c r="E27" s="24" t="n">
        <x:f>COUNTIFS('Coffee Shops'!$B$2:$B$129,A27,'Coffee Shops'!$E$2:$E$129,"Needs verification")</x:f>
        <x:v>0</x:v>
      </x:c>
      <x:c r="F27" s="24" t="n">
        <x:f>COUNTIFS('Coffee Shops'!$B$2:$B$129,A27,'Coffee Shops'!$E$2:$E$129,"Closed")+COUNTIFS('Coffee Shops'!$B$2:$B$129,A27,'Coffee Shops'!$E$2:$E$129,"Status conflict")</x:f>
        <x:v>1</x:v>
      </x:c>
      <x:c r="G27" s="24" t="n">
        <x:f>SUM(C27:F27)</x:f>
        <x:v>1</x:v>
      </x:c>
      <x:c r="H27" s="24" t="str">
        <x:f>IF(G27=0,"No named public cafe verified","Listings found")</x:f>
        <x:v>Listings found</x:v>
      </x:c>
      <x:c r="I27" s="24" t="str"/>
    </x:row>
    <x:row r="28">
      <x:c r="A28" s="24" t="str">
        <x:v>Nabatieh</x:v>
      </x:c>
      <x:c r="B28" s="24" t="str">
        <x:v>Nabatieh</x:v>
      </x:c>
      <x:c r="C28" s="24" t="n">
        <x:f>COUNTIFS('Coffee Shops'!$B$2:$B$129,A28,'Coffee Shops'!$E$2:$E$129,"Active - verified")</x:f>
        <x:v>22</x:v>
      </x:c>
      <x:c r="D28" s="24" t="n">
        <x:f>COUNTIFS('Coffee Shops'!$B$2:$B$129,A28,'Coffee Shops'!$E$2:$E$129,"Listed current")</x:f>
        <x:v>2</x:v>
      </x:c>
      <x:c r="E28" s="24" t="n">
        <x:f>COUNTIFS('Coffee Shops'!$B$2:$B$129,A28,'Coffee Shops'!$E$2:$E$129,"Needs verification")</x:f>
        <x:v>16</x:v>
      </x:c>
      <x:c r="F28" s="24" t="n">
        <x:f>COUNTIFS('Coffee Shops'!$B$2:$B$129,A28,'Coffee Shops'!$E$2:$E$129,"Closed")+COUNTIFS('Coffee Shops'!$B$2:$B$129,A28,'Coffee Shops'!$E$2:$E$129,"Status conflict")</x:f>
        <x:v>1</x:v>
      </x:c>
      <x:c r="G28" s="24" t="n">
        <x:f>SUM(C28:F28)</x:f>
        <x:v>41</x:v>
      </x:c>
      <x:c r="H28" s="24" t="str">
        <x:f>IF(G28=0,"No named public cafe verified","Listings found")</x:f>
        <x:v>Listings found</x:v>
      </x:c>
      <x:c r="I28" s="24" t="str">
        <x:v>Wider city bucket. Some listings overlap urban Al-Fawqa/Al-Tahta when source addresses are not granular.</x:v>
      </x:c>
    </x:row>
    <x:row r="29">
      <x:c r="A29" s="24" t="str">
        <x:v>Nabatieh Al-Fawqa</x:v>
      </x:c>
      <x:c r="B29" s="24" t="str">
        <x:v>Nabatiye el Faouqa</x:v>
      </x:c>
      <x:c r="C29" s="24" t="n">
        <x:f>COUNTIFS('Coffee Shops'!$B$2:$B$129,A29,'Coffee Shops'!$E$2:$E$129,"Active - verified")</x:f>
        <x:v>1</x:v>
      </x:c>
      <x:c r="D29" s="24" t="n">
        <x:f>COUNTIFS('Coffee Shops'!$B$2:$B$129,A29,'Coffee Shops'!$E$2:$E$129,"Listed current")</x:f>
        <x:v>0</x:v>
      </x:c>
      <x:c r="E29" s="24" t="n">
        <x:f>COUNTIFS('Coffee Shops'!$B$2:$B$129,A29,'Coffee Shops'!$E$2:$E$129,"Needs verification")</x:f>
        <x:v>0</x:v>
      </x:c>
      <x:c r="F29" s="24" t="n">
        <x:f>COUNTIFS('Coffee Shops'!$B$2:$B$129,A29,'Coffee Shops'!$E$2:$E$129,"Closed")+COUNTIFS('Coffee Shops'!$B$2:$B$129,A29,'Coffee Shops'!$E$2:$E$129,"Status conflict")</x:f>
        <x:v>1</x:v>
      </x:c>
      <x:c r="G29" s="24" t="n">
        <x:f>SUM(C29:F29)</x:f>
        <x:v>2</x:v>
      </x:c>
      <x:c r="H29" s="24" t="str">
        <x:f>IF(G29=0,"No named public cafe verified","Listings found")</x:f>
        <x:v>Listings found</x:v>
      </x:c>
      <x:c r="I29" s="24" t="str">
        <x:v>Urban sub-area. Cafe Local is currently marked permanently closed.</x:v>
      </x:c>
    </x:row>
    <x:row r="30">
      <x:c r="A30" s="24" t="str">
        <x:v>Nemriyeh</x:v>
      </x:c>
      <x:c r="B30" s="24" t="str">
        <x:v>Nmairiye</x:v>
      </x:c>
      <x:c r="C30" s="24" t="n">
        <x:f>COUNTIFS('Coffee Shops'!$B$2:$B$129,A30,'Coffee Shops'!$E$2:$E$129,"Active - verified")</x:f>
        <x:v>0</x:v>
      </x:c>
      <x:c r="D30" s="24" t="n">
        <x:f>COUNTIFS('Coffee Shops'!$B$2:$B$129,A30,'Coffee Shops'!$E$2:$E$129,"Listed current")</x:f>
        <x:v>2</x:v>
      </x:c>
      <x:c r="E30" s="24" t="n">
        <x:f>COUNTIFS('Coffee Shops'!$B$2:$B$129,A30,'Coffee Shops'!$E$2:$E$129,"Needs verification")</x:f>
        <x:v>0</x:v>
      </x:c>
      <x:c r="F30" s="24" t="n">
        <x:f>COUNTIFS('Coffee Shops'!$B$2:$B$129,A30,'Coffee Shops'!$E$2:$E$129,"Closed")+COUNTIFS('Coffee Shops'!$B$2:$B$129,A30,'Coffee Shops'!$E$2:$E$129,"Status conflict")</x:f>
        <x:v>0</x:v>
      </x:c>
      <x:c r="G30" s="24" t="n">
        <x:f>SUM(C30:F30)</x:f>
        <x:v>2</x:v>
      </x:c>
      <x:c r="H30" s="24" t="str">
        <x:f>IF(G30=0,"No named public cafe verified","Listings found")</x:f>
        <x:v>Listings found</x:v>
      </x:c>
      <x:c r="I30" s="24" t="str"/>
    </x:row>
    <x:row r="31">
      <x:c r="A31" s="24" t="str">
        <x:v>Roumine</x:v>
      </x:c>
      <x:c r="B31" s="24" t="str">
        <x:v>Roumine</x:v>
      </x:c>
      <x:c r="C31" s="24" t="n">
        <x:f>COUNTIFS('Coffee Shops'!$B$2:$B$129,A31,'Coffee Shops'!$E$2:$E$129,"Active - verified")</x:f>
        <x:v>1</x:v>
      </x:c>
      <x:c r="D31" s="24" t="n">
        <x:f>COUNTIFS('Coffee Shops'!$B$2:$B$129,A31,'Coffee Shops'!$E$2:$E$129,"Listed current")</x:f>
        <x:v>0</x:v>
      </x:c>
      <x:c r="E31" s="24" t="n">
        <x:f>COUNTIFS('Coffee Shops'!$B$2:$B$129,A31,'Coffee Shops'!$E$2:$E$129,"Needs verification")</x:f>
        <x:v>0</x:v>
      </x:c>
      <x:c r="F31" s="24" t="n">
        <x:f>COUNTIFS('Coffee Shops'!$B$2:$B$129,A31,'Coffee Shops'!$E$2:$E$129,"Closed")+COUNTIFS('Coffee Shops'!$B$2:$B$129,A31,'Coffee Shops'!$E$2:$E$129,"Status conflict")</x:f>
        <x:v>0</x:v>
      </x:c>
      <x:c r="G31" s="24" t="n">
        <x:f>SUM(C31:F31)</x:f>
        <x:v>1</x:v>
      </x:c>
      <x:c r="H31" s="24" t="str">
        <x:f>IF(G31=0,"No named public cafe verified","Listings found")</x:f>
        <x:v>Listings found</x:v>
      </x:c>
      <x:c r="I31" s="24" t="str"/>
    </x:row>
    <x:row r="32">
      <x:c r="A32" s="24" t="str">
        <x:v>Sarba</x:v>
      </x:c>
      <x:c r="B32" s="24" t="str">
        <x:v>Sarba El Nabatieh</x:v>
      </x:c>
      <x:c r="C32" s="24" t="n">
        <x:f>COUNTIFS('Coffee Shops'!$B$2:$B$129,A32,'Coffee Shops'!$E$2:$E$129,"Active - verified")</x:f>
        <x:v>0</x:v>
      </x:c>
      <x:c r="D32" s="24" t="n">
        <x:f>COUNTIFS('Coffee Shops'!$B$2:$B$129,A32,'Coffee Shops'!$E$2:$E$129,"Listed current")</x:f>
        <x:v>0</x:v>
      </x:c>
      <x:c r="E32" s="24" t="n">
        <x:f>COUNTIFS('Coffee Shops'!$B$2:$B$129,A32,'Coffee Shops'!$E$2:$E$129,"Needs verification")</x:f>
        <x:v>0</x:v>
      </x:c>
      <x:c r="F32" s="24" t="n">
        <x:f>COUNTIFS('Coffee Shops'!$B$2:$B$129,A32,'Coffee Shops'!$E$2:$E$129,"Closed")+COUNTIFS('Coffee Shops'!$B$2:$B$129,A32,'Coffee Shops'!$E$2:$E$129,"Status conflict")</x:f>
        <x:v>0</x:v>
      </x:c>
      <x:c r="G32" s="24" t="n">
        <x:f>SUM(C32:F32)</x:f>
        <x:v>0</x:v>
      </x:c>
      <x:c r="H32" s="24" t="str">
        <x:f>IF(G32=0,"No named public cafe verified","Listings found")</x:f>
        <x:v>No named public cafe verified</x:v>
      </x:c>
      <x:c r="I32" s="24" t="str">
        <x:v>No named café verified for Sarba El Nabatieh.</x:v>
      </x:c>
    </x:row>
    <x:row r="33">
      <x:c r="A33" s="24" t="str">
        <x:v>Seen / Siney</x:v>
      </x:c>
      <x:c r="B33" s="24" t="str">
        <x:v>Seen / Siney</x:v>
      </x:c>
      <x:c r="C33" s="24" t="n">
        <x:f>COUNTIFS('Coffee Shops'!$B$2:$B$129,A33,'Coffee Shops'!$E$2:$E$129,"Active - verified")</x:f>
        <x:v>0</x:v>
      </x:c>
      <x:c r="D33" s="24" t="n">
        <x:f>COUNTIFS('Coffee Shops'!$B$2:$B$129,A33,'Coffee Shops'!$E$2:$E$129,"Listed current")</x:f>
        <x:v>0</x:v>
      </x:c>
      <x:c r="E33" s="24" t="n">
        <x:f>COUNTIFS('Coffee Shops'!$B$2:$B$129,A33,'Coffee Shops'!$E$2:$E$129,"Needs verification")</x:f>
        <x:v>0</x:v>
      </x:c>
      <x:c r="F33" s="24" t="n">
        <x:f>COUNTIFS('Coffee Shops'!$B$2:$B$129,A33,'Coffee Shops'!$E$2:$E$129,"Closed")+COUNTIFS('Coffee Shops'!$B$2:$B$129,A33,'Coffee Shops'!$E$2:$E$129,"Status conflict")</x:f>
        <x:v>0</x:v>
      </x:c>
      <x:c r="G33" s="24" t="n">
        <x:f>SUM(C33:F33)</x:f>
        <x:v>0</x:v>
      </x:c>
      <x:c r="H33" s="24" t="str">
        <x:f>IF(G33=0,"No named public cafe verified","Listings found")</x:f>
        <x:v>No named public cafe verified</x:v>
      </x:c>
      <x:c r="I33" s="24" t="str">
        <x:v>No named café verified in current exact searches.</x:v>
      </x:c>
    </x:row>
    <x:row r="34">
      <x:c r="A34" s="24" t="str">
        <x:v>Sir Al-Gharbiyeh</x:v>
      </x:c>
      <x:c r="B34" s="24" t="str">
        <x:v>Sir el Gharbiye</x:v>
      </x:c>
      <x:c r="C34" s="24" t="n">
        <x:f>COUNTIFS('Coffee Shops'!$B$2:$B$129,A34,'Coffee Shops'!$E$2:$E$129,"Active - verified")</x:f>
        <x:v>0</x:v>
      </x:c>
      <x:c r="D34" s="24" t="n">
        <x:f>COUNTIFS('Coffee Shops'!$B$2:$B$129,A34,'Coffee Shops'!$E$2:$E$129,"Listed current")</x:f>
        <x:v>0</x:v>
      </x:c>
      <x:c r="E34" s="24" t="n">
        <x:f>COUNTIFS('Coffee Shops'!$B$2:$B$129,A34,'Coffee Shops'!$E$2:$E$129,"Needs verification")</x:f>
        <x:v>0</x:v>
      </x:c>
      <x:c r="F34" s="24" t="n">
        <x:f>COUNTIFS('Coffee Shops'!$B$2:$B$129,A34,'Coffee Shops'!$E$2:$E$129,"Closed")+COUNTIFS('Coffee Shops'!$B$2:$B$129,A34,'Coffee Shops'!$E$2:$E$129,"Status conflict")</x:f>
        <x:v>0</x:v>
      </x:c>
      <x:c r="G34" s="24" t="n">
        <x:f>SUM(C34:F34)</x:f>
        <x:v>0</x:v>
      </x:c>
      <x:c r="H34" s="24" t="str">
        <x:f>IF(G34=0,"No named public cafe verified","Listings found")</x:f>
        <x:v>No named public cafe verified</x:v>
      </x:c>
      <x:c r="I34" s="24" t="str">
        <x:v>No named café verified in current exact searches.</x:v>
      </x:c>
    </x:row>
    <x:row r="35">
      <x:c r="A35" s="24" t="str">
        <x:v>Yohmor Al-Shaqif</x:v>
      </x:c>
      <x:c r="B35" s="24" t="str">
        <x:v>Yohmor</x:v>
      </x:c>
      <x:c r="C35" s="24" t="n">
        <x:f>COUNTIFS('Coffee Shops'!$B$2:$B$129,A35,'Coffee Shops'!$E$2:$E$129,"Active - verified")</x:f>
        <x:v>0</x:v>
      </x:c>
      <x:c r="D35" s="24" t="n">
        <x:f>COUNTIFS('Coffee Shops'!$B$2:$B$129,A35,'Coffee Shops'!$E$2:$E$129,"Listed current")</x:f>
        <x:v>0</x:v>
      </x:c>
      <x:c r="E35" s="24" t="n">
        <x:f>COUNTIFS('Coffee Shops'!$B$2:$B$129,A35,'Coffee Shops'!$E$2:$E$129,"Needs verification")</x:f>
        <x:v>0</x:v>
      </x:c>
      <x:c r="F35" s="24" t="n">
        <x:f>COUNTIFS('Coffee Shops'!$B$2:$B$129,A35,'Coffee Shops'!$E$2:$E$129,"Closed")+COUNTIFS('Coffee Shops'!$B$2:$B$129,A35,'Coffee Shops'!$E$2:$E$129,"Status conflict")</x:f>
        <x:v>0</x:v>
      </x:c>
      <x:c r="G35" s="24" t="n">
        <x:f>SUM(C35:F35)</x:f>
        <x:v>0</x:v>
      </x:c>
      <x:c r="H35" s="24" t="str">
        <x:f>IF(G35=0,"No named public cafe verified","Listings found")</x:f>
        <x:v>No named public cafe verified</x:v>
      </x:c>
      <x:c r="I35" s="24" t="str">
        <x:v>No named café business could be identified.</x:v>
      </x:c>
    </x:row>
    <x:row r="36">
      <x:c r="A36" s="24" t="str">
        <x:v>Zawtar Al-Sharqiya</x:v>
      </x:c>
      <x:c r="B36" s="24" t="str">
        <x:v>Zaoutar ech Charqiye</x:v>
      </x:c>
      <x:c r="C36" s="24" t="n">
        <x:f>COUNTIFS('Coffee Shops'!$B$2:$B$129,A36,'Coffee Shops'!$E$2:$E$129,"Active - verified")</x:f>
        <x:v>0</x:v>
      </x:c>
      <x:c r="D36" s="24" t="n">
        <x:f>COUNTIFS('Coffee Shops'!$B$2:$B$129,A36,'Coffee Shops'!$E$2:$E$129,"Listed current")</x:f>
        <x:v>3</x:v>
      </x:c>
      <x:c r="E36" s="24" t="n">
        <x:f>COUNTIFS('Coffee Shops'!$B$2:$B$129,A36,'Coffee Shops'!$E$2:$E$129,"Needs verification")</x:f>
        <x:v>0</x:v>
      </x:c>
      <x:c r="F36" s="24" t="n">
        <x:f>COUNTIFS('Coffee Shops'!$B$2:$B$129,A36,'Coffee Shops'!$E$2:$E$129,"Closed")+COUNTIFS('Coffee Shops'!$B$2:$B$129,A36,'Coffee Shops'!$E$2:$E$129,"Status conflict")</x:f>
        <x:v>0</x:v>
      </x:c>
      <x:c r="G36" s="24" t="n">
        <x:f>SUM(C36:F36)</x:f>
        <x:v>3</x:v>
      </x:c>
      <x:c r="H36" s="24" t="str">
        <x:f>IF(G36=0,"No named public cafe verified","Listings found")</x:f>
        <x:v>Listings found</x:v>
      </x:c>
      <x:c r="I36" s="24" t="str"/>
    </x:row>
    <x:row r="37">
      <x:c r="A37" s="24" t="str">
        <x:v>Zawtar Al-Gharbiya</x:v>
      </x:c>
      <x:c r="B37" s="24" t="str">
        <x:v>Zaoutar el Gharbiye</x:v>
      </x:c>
      <x:c r="C37" s="24" t="n">
        <x:f>COUNTIFS('Coffee Shops'!$B$2:$B$129,A37,'Coffee Shops'!$E$2:$E$129,"Active - verified")</x:f>
        <x:v>0</x:v>
      </x:c>
      <x:c r="D37" s="24" t="n">
        <x:f>COUNTIFS('Coffee Shops'!$B$2:$B$129,A37,'Coffee Shops'!$E$2:$E$129,"Listed current")</x:f>
        <x:v>0</x:v>
      </x:c>
      <x:c r="E37" s="24" t="n">
        <x:f>COUNTIFS('Coffee Shops'!$B$2:$B$129,A37,'Coffee Shops'!$E$2:$E$129,"Needs verification")</x:f>
        <x:v>0</x:v>
      </x:c>
      <x:c r="F37" s="24" t="n">
        <x:f>COUNTIFS('Coffee Shops'!$B$2:$B$129,A37,'Coffee Shops'!$E$2:$E$129,"Closed")+COUNTIFS('Coffee Shops'!$B$2:$B$129,A37,'Coffee Shops'!$E$2:$E$129,"Status conflict")</x:f>
        <x:v>0</x:v>
      </x:c>
      <x:c r="G37" s="24" t="n">
        <x:f>SUM(C37:F37)</x:f>
        <x:v>0</x:v>
      </x:c>
      <x:c r="H37" s="24" t="str">
        <x:f>IF(G37=0,"No named public cafe verified","Listings found")</x:f>
        <x:v>No named public cafe verified</x:v>
      </x:c>
      <x:c r="I37" s="24" t="str">
        <x:v>No named dedicated café verified in current exact searches.</x:v>
      </x:c>
    </x:row>
    <x:row r="38">
      <x:c r="A38" s="24" t="str">
        <x:v>Zibdeen</x:v>
      </x:c>
      <x:c r="B38" s="24" t="str">
        <x:v>Zebdine El Nabatieh</x:v>
      </x:c>
      <x:c r="C38" s="24" t="n">
        <x:f>COUNTIFS('Coffee Shops'!$B$2:$B$129,A38,'Coffee Shops'!$E$2:$E$129,"Active - verified")</x:f>
        <x:v>1</x:v>
      </x:c>
      <x:c r="D38" s="24" t="n">
        <x:f>COUNTIFS('Coffee Shops'!$B$2:$B$129,A38,'Coffee Shops'!$E$2:$E$129,"Listed current")</x:f>
        <x:v>0</x:v>
      </x:c>
      <x:c r="E38" s="24" t="n">
        <x:f>COUNTIFS('Coffee Shops'!$B$2:$B$129,A38,'Coffee Shops'!$E$2:$E$129,"Needs verification")</x:f>
        <x:v>1</x:v>
      </x:c>
      <x:c r="F38" s="24" t="n">
        <x:f>COUNTIFS('Coffee Shops'!$B$2:$B$129,A38,'Coffee Shops'!$E$2:$E$129,"Closed")+COUNTIFS('Coffee Shops'!$B$2:$B$129,A38,'Coffee Shops'!$E$2:$E$129,"Status conflict")</x:f>
        <x:v>0</x:v>
      </x:c>
      <x:c r="G38" s="24" t="n">
        <x:f>SUM(C38:F38)</x:f>
        <x:v>2</x:v>
      </x:c>
      <x:c r="H38" s="24" t="str">
        <x:f>IF(G38=0,"No named public cafe verified","Listings found")</x:f>
        <x:v>Listings found</x:v>
      </x:c>
      <x:c r="I38" s="24" t="str"/>
    </x:row>
    <x:row r="39">
      <x:c r="A39" s="24" t="str">
        <x:v>Zefta</x:v>
      </x:c>
      <x:c r="B39" s="24" t="str">
        <x:v>Zefta</x:v>
      </x:c>
      <x:c r="C39" s="24" t="n">
        <x:f>COUNTIFS('Coffee Shops'!$B$2:$B$129,A39,'Coffee Shops'!$E$2:$E$129,"Active - verified")</x:f>
        <x:v>3</x:v>
      </x:c>
      <x:c r="D39" s="24" t="n">
        <x:f>COUNTIFS('Coffee Shops'!$B$2:$B$129,A39,'Coffee Shops'!$E$2:$E$129,"Listed current")</x:f>
        <x:v>0</x:v>
      </x:c>
      <x:c r="E39" s="24" t="n">
        <x:f>COUNTIFS('Coffee Shops'!$B$2:$B$129,A39,'Coffee Shops'!$E$2:$E$129,"Needs verification")</x:f>
        <x:v>0</x:v>
      </x:c>
      <x:c r="F39" s="24" t="n">
        <x:f>COUNTIFS('Coffee Shops'!$B$2:$B$129,A39,'Coffee Shops'!$E$2:$E$129,"Closed")+COUNTIFS('Coffee Shops'!$B$2:$B$129,A39,'Coffee Shops'!$E$2:$E$129,"Status conflict")</x:f>
        <x:v>0</x:v>
      </x:c>
      <x:c r="G39" s="24" t="n">
        <x:f>SUM(C39:F39)</x:f>
        <x:v>3</x:v>
      </x:c>
      <x:c r="H39" s="24" t="str">
        <x:f>IF(G39=0,"No named public cafe verified","Listings found")</x:f>
        <x:v>Listings found</x:v>
      </x:c>
      <x:c r="I39" s="24" t="str"/>
    </x:row>
    <x:row r="40">
      <x:c r="A40" s="24" t="str">
        <x:v>Ezza</x:v>
      </x:c>
      <x:c r="B40" s="24" t="str">
        <x:v>Aazze</x:v>
      </x:c>
      <x:c r="C40" s="24" t="n">
        <x:f>COUNTIFS('Coffee Shops'!$B$2:$B$129,A40,'Coffee Shops'!$E$2:$E$129,"Active - verified")</x:f>
        <x:v>0</x:v>
      </x:c>
      <x:c r="D40" s="24" t="n">
        <x:f>COUNTIFS('Coffee Shops'!$B$2:$B$129,A40,'Coffee Shops'!$E$2:$E$129,"Listed current")</x:f>
        <x:v>0</x:v>
      </x:c>
      <x:c r="E40" s="24" t="n">
        <x:f>COUNTIFS('Coffee Shops'!$B$2:$B$129,A40,'Coffee Shops'!$E$2:$E$129,"Needs verification")</x:f>
        <x:v>0</x:v>
      </x:c>
      <x:c r="F40" s="24" t="n">
        <x:f>COUNTIFS('Coffee Shops'!$B$2:$B$129,A40,'Coffee Shops'!$E$2:$E$129,"Closed")+COUNTIFS('Coffee Shops'!$B$2:$B$129,A40,'Coffee Shops'!$E$2:$E$129,"Status conflict")</x:f>
        <x:v>0</x:v>
      </x:c>
      <x:c r="G40" s="24" t="n">
        <x:f>SUM(C40:F40)</x:f>
        <x:v>0</x:v>
      </x:c>
      <x:c r="H40" s="24" t="str">
        <x:f>IF(G40=0,"No named public cafe verified","Listings found")</x:f>
        <x:v>No named public cafe verified</x:v>
      </x:c>
      <x:c r="I40" s="24" t="str">
        <x:v>No named dedicated café verified in current exact searches.</x:v>
      </x:c>
    </x:row>
    <x:row r="41">
      <x:c r="A41" s="24" t="str">
        <x:v>Nabatieh Al-Tahta</x:v>
      </x:c>
      <x:c r="B41" s="24" t="str">
        <x:v>Nabatiye el Tahta</x:v>
      </x:c>
      <x:c r="C41" s="24" t="n">
        <x:f>COUNTIFS('Coffee Shops'!$B$2:$B$129,A41,'Coffee Shops'!$E$2:$E$129,"Active - verified")</x:f>
        <x:v>1</x:v>
      </x:c>
      <x:c r="D41" s="24" t="n">
        <x:f>COUNTIFS('Coffee Shops'!$B$2:$B$129,A41,'Coffee Shops'!$E$2:$E$129,"Listed current")</x:f>
        <x:v>6</x:v>
      </x:c>
      <x:c r="E41" s="24" t="n">
        <x:f>COUNTIFS('Coffee Shops'!$B$2:$B$129,A41,'Coffee Shops'!$E$2:$E$129,"Needs verification")</x:f>
        <x:v>0</x:v>
      </x:c>
      <x:c r="F41" s="24" t="n">
        <x:f>COUNTIFS('Coffee Shops'!$B$2:$B$129,A41,'Coffee Shops'!$E$2:$E$129,"Closed")+COUNTIFS('Coffee Shops'!$B$2:$B$129,A41,'Coffee Shops'!$E$2:$E$129,"Status conflict")</x:f>
        <x:v>0</x:v>
      </x:c>
      <x:c r="G41" s="24" t="n">
        <x:f>SUM(C41:F41)</x:f>
        <x:v>7</x:v>
      </x:c>
      <x:c r="H41" s="24" t="str">
        <x:f>IF(G41=0,"No named public cafe verified","Listings found")</x:f>
        <x:v>Listings found</x:v>
      </x:c>
      <x:c r="I41" s="24" t="str">
        <x:v>Urban sub-area. Several specialty/current-directory listings are explicitly tagged Al-Tahta.</x:v>
      </x:c>
    </x:row>
  </x:sheetData>
  <x:conditionalFormatting sqref="A2:I41">
    <x:cfRule type="expression" dxfId="5" priority="1">
      <x:formula>G2=0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aa026f8b5543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8" hidden="0" customWidth="1"/>
    <x:col min="4" max="4" width="22" hidden="0" customWidth="1"/>
    <x:col min="5" max="5" width="20" hidden="0" customWidth="1"/>
    <x:col min="6" max="6" width="34" hidden="0" customWidth="1"/>
    <x:col min="7" max="7" width="18" hidden="0" customWidth="1"/>
    <x:col min="8" max="8" width="10" hidden="0" customWidth="1"/>
    <x:col min="9" max="9" width="10" hidden="0" customWidth="1"/>
    <x:col min="10" max="10" width="25" hidden="0" customWidth="1"/>
    <x:col min="11" max="11" width="12" hidden="0" customWidth="1"/>
    <x:col min="12" max="12" width="30" hidden="0" customWidth="1"/>
    <x:col min="13" max="13" width="38" hidden="0" customWidth="1"/>
    <x:col min="14" max="14" width="38" hidden="0" customWidth="1"/>
    <x:col min="15" max="15" width="45" hidden="0" customWidth="1"/>
    <x:col min="16" max="16" width="14" hidden="0" customWidth="1"/>
  </x:cols>
  <x:sheetData>
    <x:row r="1" ht="34" customHeight="1">
      <x:c r="A1" s="26" t="str">
        <x:v>ID</x:v>
      </x:c>
      <x:c r="B1" s="26" t="str">
        <x:v>Canonical Locality</x:v>
      </x:c>
      <x:c r="C1" s="26" t="str">
        <x:v>Business Name</x:v>
      </x:c>
      <x:c r="D1" s="26" t="str">
        <x:v>Type</x:v>
      </x:c>
      <x:c r="E1" s="26" t="str">
        <x:v>Status</x:v>
      </x:c>
      <x:c r="F1" s="26" t="str">
        <x:v>Address / Area</x:v>
      </x:c>
      <x:c r="G1" s="26" t="str">
        <x:v>Phone</x:v>
      </x:c>
      <x:c r="H1" s="26" t="str">
        <x:v>Rating</x:v>
      </x:c>
      <x:c r="I1" s="26" t="str">
        <x:v>Reviews</x:v>
      </x:c>
      <x:c r="J1" s="26" t="str">
        <x:v>Hours</x:v>
      </x:c>
      <x:c r="K1" s="26" t="str">
        <x:v>Confidence</x:v>
      </x:c>
      <x:c r="L1" s="26" t="str">
        <x:v>Evidence Source</x:v>
      </x:c>
      <x:c r="M1" s="26" t="str">
        <x:v>Source URL</x:v>
      </x:c>
      <x:c r="N1" s="26" t="str">
        <x:v>Map / Search Link</x:v>
      </x:c>
      <x:c r="O1" s="26" t="str">
        <x:v>Notes</x:v>
      </x:c>
      <x:c r="P1" s="26" t="str">
        <x:v>Last Checked</x:v>
      </x:c>
    </x:row>
    <x:row r="2">
      <x:c r="A2" s="24" t="n">
        <x:v>1</x:v>
      </x:c>
      <x:c r="B2" s="24" t="str">
        <x:v>Adchit</x:v>
      </x:c>
      <x:c r="C2" s="24" t="str">
        <x:v>Al Kalaa Caffe</x:v>
      </x:c>
      <x:c r="D2" s="24" t="str">
        <x:v>Cafe</x:v>
      </x:c>
      <x:c r="E2" s="24" t="str">
        <x:v>Active - verified</x:v>
      </x:c>
      <x:c r="F2" s="24" t="str">
        <x:v>9C28+H2G, Aadchit El Chqif</x:v>
      </x:c>
      <x:c r="G2" s="24" t="str">
        <x:v>+961 76 425 126</x:v>
      </x:c>
      <x:c r="H2" s="44" t="n">
        <x:v>4.7</x:v>
      </x:c>
      <x:c r="I2" s="46" t="n">
        <x:v>13</x:v>
      </x:c>
      <x:c r="J2" s="24" t="str"/>
      <x:c r="K2" s="24" t="str">
        <x:v>High</x:v>
      </x:c>
      <x:c r="L2" s="24" t="str">
        <x:v>Current local-business listing + Cybo</x:v>
      </x:c>
      <x:c r="M2" s="24" t="str">
        <x:v>https://www.cybo.com/LB/deir-mimas/cafes/</x:v>
      </x:c>
      <x:c r="N2" s="24" t="str">
        <x:v>https://www.google.com/maps/search/?api=1&amp;query=Al+Kalaa+Caffe%2C+Adchit%2C+Lebanon</x:v>
      </x:c>
      <x:c r="O2" s="24" t="str">
        <x:v>Exact Aadchit El Chqif address.</x:v>
      </x:c>
      <x:c r="P2" s="24" t="str">
        <x:v>2026-09-07</x:v>
      </x:c>
    </x:row>
    <x:row r="3">
      <x:c r="A3" s="24" t="n">
        <x:v>2</x:v>
      </x:c>
      <x:c r="B3" s="24" t="str">
        <x:v>Ain Qana</x:v>
      </x:c>
      <x:c r="C3" s="24" t="str">
        <x:v>Black And White Café</x:v>
      </x:c>
      <x:c r="D3" s="24" t="str">
        <x:v>Cafe / coffee-related</x:v>
      </x:c>
      <x:c r="E3" s="24" t="str">
        <x:v>Listed current</x:v>
      </x:c>
      <x:c r="F3" s="24" t="str">
        <x:v>Ain Qana</x:v>
      </x:c>
      <x:c r="G3" s="24" t="str"/>
      <x:c r="H3" s="44"/>
      <x:c r="I3" s="46"/>
      <x:c r="J3" s="24" t="str"/>
      <x:c r="K3" s="24" t="str">
        <x:v>Medium</x:v>
      </x:c>
      <x:c r="L3" s="24" t="str">
        <x:v>Pulled current Ain Qana coffee directory</x:v>
      </x:c>
      <x:c r="M3" s="24" t="str">
        <x:v>https://www.pulled.coffee/coffee-near-me/ain-qana</x:v>
      </x:c>
      <x:c r="N3" s="24" t="str">
        <x:v>https://www.google.com/maps/search/?api=1&amp;query=Black+And+White+Caf%C3%A9%2C+Ain+Qana%2C+Lebanon</x:v>
      </x:c>
      <x:c r="O3" s="24" t="str">
        <x:v>Ain Qana listing; earlier public listing showed phone 70 886 259.</x:v>
      </x:c>
      <x:c r="P3" s="24" t="str">
        <x:v>2026-09-07</x:v>
      </x:c>
    </x:row>
    <x:row r="4">
      <x:c r="A4" s="24" t="n">
        <x:v>3</x:v>
      </x:c>
      <x:c r="B4" s="24" t="str">
        <x:v>Ain Qana</x:v>
      </x:c>
      <x:c r="C4" s="24" t="str">
        <x:v>bounce &amp; play</x:v>
      </x:c>
      <x:c r="D4" s="24" t="str">
        <x:v>Cafe / coffee-related</x:v>
      </x:c>
      <x:c r="E4" s="24" t="str">
        <x:v>Listed current</x:v>
      </x:c>
      <x:c r="F4" s="24" t="str">
        <x:v>Ain Qana</x:v>
      </x:c>
      <x:c r="G4" s="24" t="str"/>
      <x:c r="H4" s="44"/>
      <x:c r="I4" s="46"/>
      <x:c r="J4" s="24" t="str"/>
      <x:c r="K4" s="24" t="str">
        <x:v>Medium</x:v>
      </x:c>
      <x:c r="L4" s="24" t="str">
        <x:v>Pulled current Ain Qana coffee directory</x:v>
      </x:c>
      <x:c r="M4" s="24" t="str">
        <x:v>https://www.pulled.coffee/coffee-near-me/ain-qana</x:v>
      </x:c>
      <x:c r="N4" s="24" t="str">
        <x:v>https://www.google.com/maps/search/?api=1&amp;query=bounce+%26+play%2C+Ain+Qana%2C+Lebanon</x:v>
      </x:c>
      <x:c r="O4" s="24" t="str">
        <x:v>Cafe/coffee listing; mixed play venue.</x:v>
      </x:c>
      <x:c r="P4" s="24" t="str">
        <x:v>2026-09-07</x:v>
      </x:c>
    </x:row>
    <x:row r="5">
      <x:c r="A5" s="24" t="n">
        <x:v>4</x:v>
      </x:c>
      <x:c r="B5" s="24" t="str">
        <x:v>Ain Qana</x:v>
      </x:c>
      <x:c r="C5" s="24" t="str">
        <x:v>Cafe Abo Mirzan</x:v>
      </x:c>
      <x:c r="D5" s="24" t="str">
        <x:v>Cafe / coffee-related</x:v>
      </x:c>
      <x:c r="E5" s="24" t="str">
        <x:v>Listed current</x:v>
      </x:c>
      <x:c r="F5" s="24" t="str">
        <x:v>Ain Qana</x:v>
      </x:c>
      <x:c r="G5" s="24" t="str"/>
      <x:c r="H5" s="44"/>
      <x:c r="I5" s="46"/>
      <x:c r="J5" s="24" t="str"/>
      <x:c r="K5" s="24" t="str">
        <x:v>Medium</x:v>
      </x:c>
      <x:c r="L5" s="24" t="str">
        <x:v>Pulled current Ain Qana coffee directory</x:v>
      </x:c>
      <x:c r="M5" s="24" t="str">
        <x:v>https://www.pulled.coffee/coffee-near-me/ain-qana</x:v>
      </x:c>
      <x:c r="N5" s="24" t="str">
        <x:v>https://www.google.com/maps/search/?api=1&amp;query=Cafe+Abo+Mirzan%2C+Ain+Qana%2C+Lebanon</x:v>
      </x:c>
      <x:c r="O5" s="24" t="str">
        <x:v>Current café listing; public directory rating around 4.0/5.</x:v>
      </x:c>
      <x:c r="P5" s="24" t="str">
        <x:v>2026-09-07</x:v>
      </x:c>
    </x:row>
    <x:row r="6">
      <x:c r="A6" s="24" t="n">
        <x:v>5</x:v>
      </x:c>
      <x:c r="B6" s="24" t="str">
        <x:v>Ain Qana</x:v>
      </x:c>
      <x:c r="C6" s="24" t="str">
        <x:v>Caffe Al amer</x:v>
      </x:c>
      <x:c r="D6" s="24" t="str">
        <x:v>Cafe / coffee-related</x:v>
      </x:c>
      <x:c r="E6" s="24" t="str">
        <x:v>Listed current</x:v>
      </x:c>
      <x:c r="F6" s="24" t="str">
        <x:v>Ain Qana</x:v>
      </x:c>
      <x:c r="G6" s="24" t="str"/>
      <x:c r="H6" s="44"/>
      <x:c r="I6" s="46"/>
      <x:c r="J6" s="24" t="str"/>
      <x:c r="K6" s="24" t="str">
        <x:v>Medium</x:v>
      </x:c>
      <x:c r="L6" s="24" t="str">
        <x:v>Pulled current Ain Qana coffee directory</x:v>
      </x:c>
      <x:c r="M6" s="24" t="str">
        <x:v>https://www.pulled.coffee/coffee-near-me/ain-qana</x:v>
      </x:c>
      <x:c r="N6" s="24" t="str">
        <x:v>https://www.google.com/maps/search/?api=1&amp;query=Caffe+Al+amer%2C+Ain+Qana%2C+Lebanon</x:v>
      </x:c>
      <x:c r="O6" s="24" t="str">
        <x:v>Current Ain Qana cafe listing.</x:v>
      </x:c>
      <x:c r="P6" s="24" t="str">
        <x:v>2026-09-07</x:v>
      </x:c>
    </x:row>
    <x:row r="7">
      <x:c r="A7" s="24" t="n">
        <x:v>6</x:v>
      </x:c>
      <x:c r="B7" s="24" t="str">
        <x:v>Ain Qana</x:v>
      </x:c>
      <x:c r="C7" s="24" t="str">
        <x:v>Exepress Abou Rashid</x:v>
      </x:c>
      <x:c r="D7" s="24" t="str">
        <x:v>Cafe / coffee-related</x:v>
      </x:c>
      <x:c r="E7" s="24" t="str">
        <x:v>Listed current</x:v>
      </x:c>
      <x:c r="F7" s="24" t="str">
        <x:v>Ain Qana</x:v>
      </x:c>
      <x:c r="G7" s="24" t="str"/>
      <x:c r="H7" s="44"/>
      <x:c r="I7" s="46"/>
      <x:c r="J7" s="24" t="str"/>
      <x:c r="K7" s="24" t="str">
        <x:v>Medium</x:v>
      </x:c>
      <x:c r="L7" s="24" t="str">
        <x:v>Pulled current Ain Qana coffee directory</x:v>
      </x:c>
      <x:c r="M7" s="24" t="str">
        <x:v>https://www.pulled.coffee/coffee-near-me/ain-qana</x:v>
      </x:c>
      <x:c r="N7" s="24" t="str">
        <x:v>https://www.google.com/maps/search/?api=1&amp;query=Exepress+Abou+Rashid%2C+Ain+Qana%2C+Lebanon</x:v>
      </x:c>
      <x:c r="O7" s="24" t="str">
        <x:v>At Mahattet Al-Faqih / محطة الفقيه.</x:v>
      </x:c>
      <x:c r="P7" s="24" t="str">
        <x:v>2026-09-07</x:v>
      </x:c>
    </x:row>
    <x:row r="8">
      <x:c r="A8" s="24" t="n">
        <x:v>7</x:v>
      </x:c>
      <x:c r="B8" s="24" t="str">
        <x:v>Ain Qana</x:v>
      </x:c>
      <x:c r="C8" s="24" t="str">
        <x:v>Express Al-Saha</x:v>
      </x:c>
      <x:c r="D8" s="24" t="str">
        <x:v>Cafe / coffee-related</x:v>
      </x:c>
      <x:c r="E8" s="24" t="str">
        <x:v>Listed current</x:v>
      </x:c>
      <x:c r="F8" s="24" t="str">
        <x:v>Ain Qana</x:v>
      </x:c>
      <x:c r="G8" s="24" t="str"/>
      <x:c r="H8" s="44"/>
      <x:c r="I8" s="46"/>
      <x:c r="J8" s="24" t="str"/>
      <x:c r="K8" s="24" t="str">
        <x:v>Medium</x:v>
      </x:c>
      <x:c r="L8" s="24" t="str">
        <x:v>Pulled current Ain Qana coffee directory</x:v>
      </x:c>
      <x:c r="M8" s="24" t="str">
        <x:v>https://www.pulled.coffee/coffee-near-me/ain-qana</x:v>
      </x:c>
      <x:c r="N8" s="24" t="str">
        <x:v>https://www.google.com/maps/search/?api=1&amp;query=Express+Al-Saha%2C+Ain+Qana%2C+Lebanon</x:v>
      </x:c>
      <x:c r="O8" s="24" t="str">
        <x:v>Current Ain Qana cafe listing.</x:v>
      </x:c>
      <x:c r="P8" s="24" t="str">
        <x:v>2026-09-07</x:v>
      </x:c>
    </x:row>
    <x:row r="9">
      <x:c r="A9" s="24" t="n">
        <x:v>8</x:v>
      </x:c>
      <x:c r="B9" s="24" t="str">
        <x:v>Ain Qana</x:v>
      </x:c>
      <x:c r="C9" s="24" t="str">
        <x:v>Mhamad Mallah – مقهى وبليار الاصدقاء</x:v>
      </x:c>
      <x:c r="D9" s="24" t="str">
        <x:v>Cafe / coffee-related</x:v>
      </x:c>
      <x:c r="E9" s="24" t="str">
        <x:v>Listed current</x:v>
      </x:c>
      <x:c r="F9" s="24" t="str">
        <x:v>Ain Qana</x:v>
      </x:c>
      <x:c r="G9" s="24" t="str"/>
      <x:c r="H9" s="44"/>
      <x:c r="I9" s="46"/>
      <x:c r="J9" s="24" t="str"/>
      <x:c r="K9" s="24" t="str">
        <x:v>Medium</x:v>
      </x:c>
      <x:c r="L9" s="24" t="str">
        <x:v>Pulled current Ain Qana coffee directory</x:v>
      </x:c>
      <x:c r="M9" s="24" t="str">
        <x:v>https://www.pulled.coffee/coffee-near-me/ain-qana</x:v>
      </x:c>
      <x:c r="N9" s="24" t="str">
        <x:v>https://www.google.com/maps/search/?api=1&amp;query=Mhamad+Mallah+%E2%80%93+%D9%85%D9%82%D9%87%D9%89+%D9%88%D8%A8%D9%84%D9%8A%D8%A7%D8%B1+%D8%A7%D9%84%D8%A7%D8%B5%D8%AF%D9%82%D8%A7%D8%A1%2C+Ain+Qana%2C+Lebanon</x:v>
      </x:c>
      <x:c r="O9" s="24" t="str">
        <x:v>Cafe/billiards venue.</x:v>
      </x:c>
      <x:c r="P9" s="24" t="str">
        <x:v>2026-09-07</x:v>
      </x:c>
    </x:row>
    <x:row r="10">
      <x:c r="A10" s="24" t="n">
        <x:v>9</x:v>
      </x:c>
      <x:c r="B10" s="24" t="str">
        <x:v>Ain Qana</x:v>
      </x:c>
      <x:c r="C10" s="24" t="str">
        <x:v>أكسبرس المحطة (Express Al Mahatta)</x:v>
      </x:c>
      <x:c r="D10" s="24" t="str">
        <x:v>Cafe / coffee-related</x:v>
      </x:c>
      <x:c r="E10" s="24" t="str">
        <x:v>Listed current</x:v>
      </x:c>
      <x:c r="F10" s="24" t="str">
        <x:v>Ain Qana</x:v>
      </x:c>
      <x:c r="G10" s="24" t="str"/>
      <x:c r="H10" s="44"/>
      <x:c r="I10" s="46"/>
      <x:c r="J10" s="24" t="str"/>
      <x:c r="K10" s="24" t="str">
        <x:v>Medium</x:v>
      </x:c>
      <x:c r="L10" s="24" t="str">
        <x:v>Pulled current Ain Qana coffee directory</x:v>
      </x:c>
      <x:c r="M10" s="24" t="str">
        <x:v>https://www.pulled.coffee/coffee-near-me/ain-qana</x:v>
      </x:c>
      <x:c r="N10" s="24" t="str">
        <x:v>https://www.google.com/maps/search/?api=1&amp;query=%D8%A3%D9%83%D8%B3%D8%A8%D8%B1%D8%B3+%D8%A7%D9%84%D9%85%D8%AD%D8%B7%D8%A9+%28Express+Al+Mahatta%29%2C+Ain+Qana%2C+Lebanon</x:v>
      </x:c>
      <x:c r="O10" s="24" t="str">
        <x:v>At محطة الفقيه.</x:v>
      </x:c>
      <x:c r="P10" s="24" t="str">
        <x:v>2026-09-07</x:v>
      </x:c>
    </x:row>
    <x:row r="11">
      <x:c r="A11" s="24" t="n">
        <x:v>10</x:v>
      </x:c>
      <x:c r="B11" s="24" t="str">
        <x:v>Ain Qana</x:v>
      </x:c>
      <x:c r="C11" s="24" t="str">
        <x:v>جار الحصن (Jar Al Hosn)</x:v>
      </x:c>
      <x:c r="D11" s="24" t="str">
        <x:v>Cafe / coffee-related</x:v>
      </x:c>
      <x:c r="E11" s="24" t="str">
        <x:v>Listed current</x:v>
      </x:c>
      <x:c r="F11" s="24" t="str">
        <x:v>Ain Qana</x:v>
      </x:c>
      <x:c r="G11" s="24" t="str"/>
      <x:c r="H11" s="44"/>
      <x:c r="I11" s="46"/>
      <x:c r="J11" s="24" t="str"/>
      <x:c r="K11" s="24" t="str">
        <x:v>Medium</x:v>
      </x:c>
      <x:c r="L11" s="24" t="str">
        <x:v>Pulled current Ain Qana coffee directory</x:v>
      </x:c>
      <x:c r="M11" s="24" t="str">
        <x:v>https://www.pulled.coffee/coffee-near-me/ain-qana</x:v>
      </x:c>
      <x:c r="N11" s="24" t="str">
        <x:v>https://www.google.com/maps/search/?api=1&amp;query=%D8%AC%D8%A7%D8%B1+%D8%A7%D9%84%D8%AD%D8%B5%D9%86+%28Jar+Al+Hosn%29%2C+Ain+Qana%2C+Lebanon</x:v>
      </x:c>
      <x:c r="O11" s="24" t="str">
        <x:v>Current Ain Qana cafe listing.</x:v>
      </x:c>
      <x:c r="P11" s="24" t="str">
        <x:v>2026-09-07</x:v>
      </x:c>
    </x:row>
    <x:row r="12">
      <x:c r="A12" s="24" t="n">
        <x:v>11</x:v>
      </x:c>
      <x:c r="B12" s="24" t="str">
        <x:v>Ain Qana</x:v>
      </x:c>
      <x:c r="C12" s="24" t="str">
        <x:v>ملعب ابو عريضة الرياضي</x:v>
      </x:c>
      <x:c r="D12" s="24" t="str">
        <x:v>Cafe / coffee-related</x:v>
      </x:c>
      <x:c r="E12" s="24" t="str">
        <x:v>Needs verification</x:v>
      </x:c>
      <x:c r="F12" s="24" t="str">
        <x:v>Ain Qana</x:v>
      </x:c>
      <x:c r="G12" s="24" t="str"/>
      <x:c r="H12" s="44"/>
      <x:c r="I12" s="46"/>
      <x:c r="J12" s="24" t="str"/>
      <x:c r="K12" s="24" t="str">
        <x:v>Low</x:v>
      </x:c>
      <x:c r="L12" s="24" t="str">
        <x:v>Pulled current Ain Qana coffee directory</x:v>
      </x:c>
      <x:c r="M12" s="24" t="str">
        <x:v>https://www.pulled.coffee/coffee-near-me/ain-qana</x:v>
      </x:c>
      <x:c r="N12" s="24" t="str">
        <x:v>https://www.google.com/maps/search/?api=1&amp;query=%D9%85%D9%84%D8%B9%D8%A8+%D8%A7%D8%A8%D9%88+%D8%B9%D8%B1%D9%8A%D8%B6%D8%A9+%D8%A7%D9%84%D8%B1%D9%8A%D8%A7%D8%B6%D9%8A%2C+Ain+Qana%2C+Lebanon</x:v>
      </x:c>
      <x:c r="O12" s="24" t="str">
        <x:v>Sports venue indexed under cafes; café function needs verification.</x:v>
      </x:c>
      <x:c r="P12" s="24" t="str">
        <x:v>2026-09-07</x:v>
      </x:c>
    </x:row>
    <x:row r="13">
      <x:c r="A13" s="24" t="n">
        <x:v>12</x:v>
      </x:c>
      <x:c r="B13" s="24" t="str">
        <x:v>Ain Qana</x:v>
      </x:c>
      <x:c r="C13" s="24" t="str">
        <x:v>كافيه الشايب (Cafe Al Shayeb)</x:v>
      </x:c>
      <x:c r="D13" s="24" t="str">
        <x:v>Cafe / coffee-related</x:v>
      </x:c>
      <x:c r="E13" s="24" t="str">
        <x:v>Listed current</x:v>
      </x:c>
      <x:c r="F13" s="24" t="str">
        <x:v>Ain Qana</x:v>
      </x:c>
      <x:c r="G13" s="24" t="str"/>
      <x:c r="H13" s="44"/>
      <x:c r="I13" s="46"/>
      <x:c r="J13" s="24" t="str"/>
      <x:c r="K13" s="24" t="str">
        <x:v>Medium</x:v>
      </x:c>
      <x:c r="L13" s="24" t="str">
        <x:v>Pulled current Ain Qana coffee directory</x:v>
      </x:c>
      <x:c r="M13" s="24" t="str">
        <x:v>https://www.pulled.coffee/coffee-near-me/ain-qana</x:v>
      </x:c>
      <x:c r="N13" s="24" t="str">
        <x:v>https://www.google.com/maps/search/?api=1&amp;query=%D9%83%D8%A7%D9%81%D9%8A%D9%87+%D8%A7%D9%84%D8%B4%D8%A7%D9%8A%D8%A8+%28Cafe+Al+Shayeb%29%2C+Ain+Qana%2C+Lebanon</x:v>
      </x:c>
      <x:c r="O13" s="24" t="str">
        <x:v>Current coffee/cafe listing.</x:v>
      </x:c>
      <x:c r="P13" s="24" t="str">
        <x:v>2026-09-07</x:v>
      </x:c>
    </x:row>
    <x:row r="14">
      <x:c r="A14" s="24" t="n">
        <x:v>13</x:v>
      </x:c>
      <x:c r="B14" s="24" t="str">
        <x:v>Ain Qana</x:v>
      </x:c>
      <x:c r="C14" s="24" t="str">
        <x:v>صديقين (Sadiqayn)</x:v>
      </x:c>
      <x:c r="D14" s="24" t="str">
        <x:v>Cafe / coffee-related</x:v>
      </x:c>
      <x:c r="E14" s="24" t="str">
        <x:v>Listed current</x:v>
      </x:c>
      <x:c r="F14" s="24" t="str">
        <x:v>Ain Qana</x:v>
      </x:c>
      <x:c r="G14" s="24" t="str"/>
      <x:c r="H14" s="44"/>
      <x:c r="I14" s="46"/>
      <x:c r="J14" s="24" t="str"/>
      <x:c r="K14" s="24" t="str">
        <x:v>Medium</x:v>
      </x:c>
      <x:c r="L14" s="24" t="str">
        <x:v>Pulled current Ain Qana coffee directory</x:v>
      </x:c>
      <x:c r="M14" s="24" t="str">
        <x:v>https://www.pulled.coffee/coffee-near-me/ain-qana</x:v>
      </x:c>
      <x:c r="N14" s="24" t="str">
        <x:v>https://www.google.com/maps/search/?api=1&amp;query=%D8%B5%D8%AF%D9%8A%D9%82%D9%8A%D9%86+%28Sadiqayn%29%2C+Ain+Qana%2C+Lebanon</x:v>
      </x:c>
      <x:c r="O14" s="24" t="str">
        <x:v>Current cafe listing.</x:v>
      </x:c>
      <x:c r="P14" s="24" t="str">
        <x:v>2026-09-07</x:v>
      </x:c>
    </x:row>
    <x:row r="15">
      <x:c r="A15" s="24" t="n">
        <x:v>14</x:v>
      </x:c>
      <x:c r="B15" s="24" t="str">
        <x:v>Ansar</x:v>
      </x:c>
      <x:c r="C15" s="24" t="str">
        <x:v>BOB CAFEE</x:v>
      </x:c>
      <x:c r="D15" s="24" t="str">
        <x:v>Coffee shop</x:v>
      </x:c>
      <x:c r="E15" s="24" t="str">
        <x:v>Listed current</x:v>
      </x:c>
      <x:c r="F15" s="24" t="str">
        <x:v>Insar / Ansar</x:v>
      </x:c>
      <x:c r="G15" s="24" t="str"/>
      <x:c r="H15" s="44" t="n">
        <x:v>5</x:v>
      </x:c>
      <x:c r="I15" s="46"/>
      <x:c r="J15" s="24" t="str"/>
      <x:c r="K15" s="24" t="str">
        <x:v>Medium</x:v>
      </x:c>
      <x:c r="L15" s="24" t="str">
        <x:v>Pulled current specialty-coffee directory</x:v>
      </x:c>
      <x:c r="M15" s="24" t="str">
        <x:v>https://www.pulled.coffee/city/sidon/specialty</x:v>
      </x:c>
      <x:c r="N15" s="24" t="str">
        <x:v>https://www.google.com/maps/search/?api=1&amp;query=BOB+CAFEE%2C+Ansar%2C+Lebanon</x:v>
      </x:c>
      <x:c r="O15" s="24" t="str">
        <x:v>Exact listing gives Insar coordinates.</x:v>
      </x:c>
      <x:c r="P15" s="24" t="str">
        <x:v>2026-09-07</x:v>
      </x:c>
    </x:row>
    <x:row r="16">
      <x:c r="A16" s="24" t="n">
        <x:v>15</x:v>
      </x:c>
      <x:c r="B16" s="24" t="str">
        <x:v>Ansar</x:v>
      </x:c>
      <x:c r="C16" s="24" t="str">
        <x:v>Black cafe</x:v>
      </x:c>
      <x:c r="D16" s="24" t="str">
        <x:v>Cafe</x:v>
      </x:c>
      <x:c r="E16" s="24" t="str">
        <x:v>Listed current</x:v>
      </x:c>
      <x:c r="F16" s="24" t="str">
        <x:v>Mazraat Chelbael, Ansar</x:v>
      </x:c>
      <x:c r="G16" s="24" t="str"/>
      <x:c r="H16" s="44" t="n">
        <x:v>5</x:v>
      </x:c>
      <x:c r="I16" s="46"/>
      <x:c r="J16" s="24" t="str"/>
      <x:c r="K16" s="24" t="str">
        <x:v>Medium</x:v>
      </x:c>
      <x:c r="L16" s="24" t="str">
        <x:v>Pulled current specialty-coffee directory</x:v>
      </x:c>
      <x:c r="M16" s="24" t="str">
        <x:v>https://www.pulled.coffee/city/sidon/specialty</x:v>
      </x:c>
      <x:c r="N16" s="24" t="str">
        <x:v>https://www.google.com/maps/search/?api=1&amp;query=Black+cafe%2C+Ansar%2C+Lebanon</x:v>
      </x:c>
      <x:c r="O16" s="24" t="str">
        <x:v>Located in Mazraat Chelbael and associated with Ansar in the listing.</x:v>
      </x:c>
      <x:c r="P16" s="24" t="str">
        <x:v>2026-09-07</x:v>
      </x:c>
    </x:row>
    <x:row r="17">
      <x:c r="A17" s="24" t="n">
        <x:v>16</x:v>
      </x:c>
      <x:c r="B17" s="24" t="str">
        <x:v>Ansar</x:v>
      </x:c>
      <x:c r="C17" s="24" t="str">
        <x:v>Modka and more</x:v>
      </x:c>
      <x:c r="D17" s="24" t="str">
        <x:v>Coffee-related venue</x:v>
      </x:c>
      <x:c r="E17" s="24" t="str">
        <x:v>Listed current</x:v>
      </x:c>
      <x:c r="F17" s="24" t="str">
        <x:v>Ansar</x:v>
      </x:c>
      <x:c r="G17" s="24" t="str"/>
      <x:c r="H17" s="44" t="n">
        <x:v>5</x:v>
      </x:c>
      <x:c r="I17" s="46"/>
      <x:c r="J17" s="24" t="str"/>
      <x:c r="K17" s="24" t="str">
        <x:v>Medium</x:v>
      </x:c>
      <x:c r="L17" s="24" t="str">
        <x:v>Pulled current specialty-coffee directory</x:v>
      </x:c>
      <x:c r="M17" s="24" t="str">
        <x:v>https://www.pulled.coffee/city/sidon/specialty</x:v>
      </x:c>
      <x:c r="N17" s="24" t="str">
        <x:v>https://www.google.com/maps/search/?api=1&amp;query=Modka+and+more%2C+Ansar%2C+Lebanon</x:v>
      </x:c>
      <x:c r="O17" s="24" t="str"/>
      <x:c r="P17" s="24" t="str">
        <x:v>2026-09-07</x:v>
      </x:c>
    </x:row>
    <x:row r="18">
      <x:c r="A18" s="24" t="n">
        <x:v>17</x:v>
      </x:c>
      <x:c r="B18" s="24" t="str">
        <x:v>Ansar</x:v>
      </x:c>
      <x:c r="C18" s="24" t="str">
        <x:v>Camp Nou Cafe</x:v>
      </x:c>
      <x:c r="D18" s="24" t="str">
        <x:v>Cafe</x:v>
      </x:c>
      <x:c r="E18" s="24" t="str">
        <x:v>Active - verified</x:v>
      </x:c>
      <x:c r="F18" s="24" t="str">
        <x:v>Main Road, Mafraq Sinai near Salle Al Amir, Ansar</x:v>
      </x:c>
      <x:c r="G18" s="24" t="str">
        <x:v>+961 70 974 045</x:v>
      </x:c>
      <x:c r="H18" s="44" t="n">
        <x:v>4.6</x:v>
      </x:c>
      <x:c r="I18" s="46" t="n">
        <x:v>31</x:v>
      </x:c>
      <x:c r="J18" s="24" t="str">
        <x:v>10:00–00:00 daily</x:v>
      </x:c>
      <x:c r="K18" s="24" t="str">
        <x:v>High</x:v>
      </x:c>
      <x:c r="L18" s="24" t="str">
        <x:v>Current local-business listing + BizMidEast</x:v>
      </x:c>
      <x:c r="M18" s="24" t="str">
        <x:v>https://www.bizmideast.com/LB/camp-nou-cafe-70-974-045</x:v>
      </x:c>
      <x:c r="N18" s="24" t="str">
        <x:v>https://www.google.com/maps/search/?api=1&amp;query=Camp+Nou+Cafe%2C+Ansar%2C+Lebanon</x:v>
      </x:c>
      <x:c r="O18" s="24" t="str"/>
      <x:c r="P18" s="24" t="str">
        <x:v>2026-09-07</x:v>
      </x:c>
    </x:row>
    <x:row r="19">
      <x:c r="A19" s="24" t="n">
        <x:v>18</x:v>
      </x:c>
      <x:c r="B19" s="24" t="str">
        <x:v>Ansar</x:v>
      </x:c>
      <x:c r="C19" s="24" t="str">
        <x:v>Sukkar Sweets</x:v>
      </x:c>
      <x:c r="D19" s="24" t="str">
        <x:v>Dessert cafe</x:v>
      </x:c>
      <x:c r="E19" s="24" t="str">
        <x:v>Needs verification</x:v>
      </x:c>
      <x:c r="F19" s="24" t="str">
        <x:v>Ansar, Nabatieh</x:v>
      </x:c>
      <x:c r="G19" s="24" t="str">
        <x:v>+961 3 743 627</x:v>
      </x:c>
      <x:c r="H19" s="44"/>
      <x:c r="I19" s="46"/>
      <x:c r="J19" s="24" t="str"/>
      <x:c r="K19" s="24" t="str">
        <x:v>Medium</x:v>
      </x:c>
      <x:c r="L19" s="24" t="str">
        <x:v>Beirut.com South Lebanon coffee feature</x:v>
      </x:c>
      <x:c r="M19" s="24" t="str">
        <x:v>https://www.beirut.com/en/64076/its-coffee-oclock-7-must-try-coffee-shops-in-jnoub/</x:v>
      </x:c>
      <x:c r="N19" s="24" t="str">
        <x:v>https://www.google.com/maps/search/?api=1&amp;query=Sukkar+Sweets%2C+Ansar%2C+Lebanon</x:v>
      </x:c>
      <x:c r="O19" s="24" t="str">
        <x:v>Dessert/sweets business with café seating and coffee; not a pure coffee shop.</x:v>
      </x:c>
      <x:c r="P19" s="24" t="str">
        <x:v>2026-09-07</x:v>
      </x:c>
    </x:row>
    <x:row r="20">
      <x:c r="A20" s="24" t="n">
        <x:v>19</x:v>
      </x:c>
      <x:c r="B20" s="24" t="str">
        <x:v>Ansar</x:v>
      </x:c>
      <x:c r="C20" s="24" t="str">
        <x:v>Aymanzzz cafe</x:v>
      </x:c>
      <x:c r="D20" s="24" t="str">
        <x:v>Cafe</x:v>
      </x:c>
      <x:c r="E20" s="24" t="str">
        <x:v>Needs verification</x:v>
      </x:c>
      <x:c r="F20" s="24" t="str">
        <x:v>99JR+RP, Mazraat Chelbael</x:v>
      </x:c>
      <x:c r="G20" s="24" t="str">
        <x:v>+961 81 729 676</x:v>
      </x:c>
      <x:c r="H20" s="44" t="n">
        <x:v>4.9</x:v>
      </x:c>
      <x:c r="I20" s="46" t="n">
        <x:v>34</x:v>
      </x:c>
      <x:c r="J20" s="24" t="str">
        <x:v>08:00–23:00 daily</x:v>
      </x:c>
      <x:c r="K20" s="24" t="str">
        <x:v>Low</x:v>
      </x:c>
      <x:c r="L20" s="24" t="str">
        <x:v>Current local-business listing</x:v>
      </x:c>
      <x:c r="M20" s="24" t="str"/>
      <x:c r="N20" s="24" t="str">
        <x:v>https://www.google.com/maps/search/?api=1&amp;query=Aymanzzz+cafe%2C+Ansar%2C+Lebanon</x:v>
      </x:c>
      <x:c r="O20" s="24" t="str">
        <x:v>Exact map address is Mazraat Chelbael; included as Ansar-associated only, not counted as exact village center.</x:v>
      </x:c>
      <x:c r="P20" s="24" t="str">
        <x:v>2026-09-07</x:v>
      </x:c>
    </x:row>
    <x:row r="21">
      <x:c r="A21" s="24" t="n">
        <x:v>20</x:v>
      </x:c>
      <x:c r="B21" s="24" t="str">
        <x:v>Arabsalim</x:v>
      </x:c>
      <x:c r="C21" s="24" t="str">
        <x:v>Barista Hut</x:v>
      </x:c>
      <x:c r="D21" s="24" t="str">
        <x:v>Cafe</x:v>
      </x:c>
      <x:c r="E21" s="24" t="str">
        <x:v>Needs verification</x:v>
      </x:c>
      <x:c r="F21" s="24" t="str">
        <x:v>Sayyed Al-Shuhada Complex, Arabsalim</x:v>
      </x:c>
      <x:c r="G21" s="24" t="str">
        <x:v>+961 70 356 786</x:v>
      </x:c>
      <x:c r="H21" s="44" t="n">
        <x:v>5</x:v>
      </x:c>
      <x:c r="I21" s="46" t="n">
        <x:v>2</x:v>
      </x:c>
      <x:c r="J21" s="24" t="str">
        <x:v>06:00–00:00 daily</x:v>
      </x:c>
      <x:c r="K21" s="24" t="str">
        <x:v>Medium</x:v>
      </x:c>
      <x:c r="L21" s="24" t="str">
        <x:v>Earlier current local-business discovery</x:v>
      </x:c>
      <x:c r="M21" s="24" t="str"/>
      <x:c r="N21" s="24" t="str">
        <x:v>https://www.google.com/maps/search/?api=1&amp;query=Barista+Hut%2C+Arabsalim%2C+Lebanon</x:v>
      </x:c>
      <x:c r="O21" s="24" t="str"/>
      <x:c r="P21" s="24" t="str">
        <x:v>2026-09-07</x:v>
      </x:c>
    </x:row>
    <x:row r="22">
      <x:c r="A22" s="24" t="n">
        <x:v>21</x:v>
      </x:c>
      <x:c r="B22" s="24" t="str">
        <x:v>Arabsalim</x:v>
      </x:c>
      <x:c r="C22" s="24" t="str">
        <x:v>Cupway Café</x:v>
      </x:c>
      <x:c r="D22" s="24" t="str">
        <x:v>Cafe</x:v>
      </x:c>
      <x:c r="E22" s="24" t="str">
        <x:v>Listed current</x:v>
      </x:c>
      <x:c r="F22" s="24" t="str">
        <x:v>Arab Salim</x:v>
      </x:c>
      <x:c r="G22" s="24" t="str"/>
      <x:c r="H22" s="44"/>
      <x:c r="I22" s="46"/>
      <x:c r="J22" s="24" t="str"/>
      <x:c r="K22" s="24" t="str">
        <x:v>Medium</x:v>
      </x:c>
      <x:c r="L22" s="24" t="str">
        <x:v>WenRayhin Arab Salim food/drink directory</x:v>
      </x:c>
      <x:c r="M22" s="24" t="str">
        <x:v>https://wenrayhin.com/en/towns/arab-salim/food_drink</x:v>
      </x:c>
      <x:c r="N22" s="24" t="str">
        <x:v>https://www.google.com/maps/search/?api=1&amp;query=Cupway+Caf%C3%A9%2C+Arabsalim%2C+Lebanon</x:v>
      </x:c>
      <x:c r="O22" s="24" t="str"/>
      <x:c r="P22" s="24" t="str">
        <x:v>2026-09-07</x:v>
      </x:c>
    </x:row>
    <x:row r="23">
      <x:c r="A23" s="24" t="n">
        <x:v>22</x:v>
      </x:c>
      <x:c r="B23" s="24" t="str">
        <x:v>Arabsalim</x:v>
      </x:c>
      <x:c r="C23" s="24" t="str">
        <x:v>Bazzoka Cafe</x:v>
      </x:c>
      <x:c r="D23" s="24" t="str">
        <x:v>Cafe</x:v>
      </x:c>
      <x:c r="E23" s="24" t="str">
        <x:v>Needs verification</x:v>
      </x:c>
      <x:c r="F23" s="24" t="str">
        <x:v>CGP8+H6C, Arab Salim</x:v>
      </x:c>
      <x:c r="G23" s="24" t="str">
        <x:v>+961 81 510 751</x:v>
      </x:c>
      <x:c r="H23" s="44"/>
      <x:c r="I23" s="46"/>
      <x:c r="J23" s="24" t="str"/>
      <x:c r="K23" s="24" t="str">
        <x:v>Medium</x:v>
      </x:c>
      <x:c r="L23" s="24" t="str">
        <x:v>Local directory discovery</x:v>
      </x:c>
      <x:c r="M23" s="24" t="str"/>
      <x:c r="N23" s="24" t="str">
        <x:v>https://www.google.com/maps/search/?api=1&amp;query=Bazzoka+Cafe%2C+Arabsalim%2C+Lebanon</x:v>
      </x:c>
      <x:c r="O23" s="24" t="str"/>
      <x:c r="P23" s="24" t="str">
        <x:v>2026-09-07</x:v>
      </x:c>
    </x:row>
    <x:row r="24">
      <x:c r="A24" s="24" t="n">
        <x:v>23</x:v>
      </x:c>
      <x:c r="B24" s="24" t="str">
        <x:v>Arabsalim</x:v>
      </x:c>
      <x:c r="C24" s="24" t="str">
        <x:v>Cofybook Coffee Shop</x:v>
      </x:c>
      <x:c r="D24" s="24" t="str">
        <x:v>Coffee shop</x:v>
      </x:c>
      <x:c r="E24" s="24" t="str">
        <x:v>Needs verification</x:v>
      </x:c>
      <x:c r="F24" s="24" t="str">
        <x:v>Arab Salim</x:v>
      </x:c>
      <x:c r="G24" s="24" t="str"/>
      <x:c r="H24" s="44"/>
      <x:c r="I24" s="46"/>
      <x:c r="J24" s="24" t="str"/>
      <x:c r="K24" s="24" t="str">
        <x:v>Medium</x:v>
      </x:c>
      <x:c r="L24" s="24" t="str">
        <x:v>Local web listing</x:v>
      </x:c>
      <x:c r="M24" s="24" t="str"/>
      <x:c r="N24" s="24" t="str">
        <x:v>https://www.google.com/maps/search/?api=1&amp;query=Cofybook+Coffee+Shop%2C+Arabsalim%2C+Lebanon</x:v>
      </x:c>
      <x:c r="O24" s="24" t="str"/>
      <x:c r="P24" s="24" t="str">
        <x:v>2026-09-07</x:v>
      </x:c>
    </x:row>
    <x:row r="25">
      <x:c r="A25" s="24" t="n">
        <x:v>24</x:v>
      </x:c>
      <x:c r="B25" s="24" t="str">
        <x:v>Arabsalim</x:v>
      </x:c>
      <x:c r="C25" s="24" t="str">
        <x:v>Prime Coffee Shop</x:v>
      </x:c>
      <x:c r="D25" s="24" t="str">
        <x:v>Coffee shop</x:v>
      </x:c>
      <x:c r="E25" s="24" t="str">
        <x:v>Needs verification</x:v>
      </x:c>
      <x:c r="F25" s="24" t="str">
        <x:v>Arab Salim</x:v>
      </x:c>
      <x:c r="G25" s="24" t="str"/>
      <x:c r="H25" s="44"/>
      <x:c r="I25" s="46"/>
      <x:c r="J25" s="24" t="str">
        <x:v>Website says 08:00–22:00</x:v>
      </x:c>
      <x:c r="K25" s="24" t="str">
        <x:v>Low</x:v>
      </x:c>
      <x:c r="L25" s="24" t="str">
        <x:v>Business website; independent verification weak</x:v>
      </x:c>
      <x:c r="M25" s="24" t="str">
        <x:v>https://coffeeshop-prime.com/contact/</x:v>
      </x:c>
      <x:c r="N25" s="24" t="str">
        <x:v>https://www.google.com/maps/search/?api=1&amp;query=Prime+Coffee+Shop%2C+Arabsalim%2C+Lebanon</x:v>
      </x:c>
      <x:c r="O25" s="24" t="str">
        <x:v>Website contains template-like contact information; do not treat as fully verified.</x:v>
      </x:c>
      <x:c r="P25" s="24" t="str">
        <x:v>2026-09-07</x:v>
      </x:c>
    </x:row>
    <x:row r="26">
      <x:c r="A26" s="24" t="n">
        <x:v>25</x:v>
      </x:c>
      <x:c r="B26" s="24" t="str">
        <x:v>Arabsalim</x:v>
      </x:c>
      <x:c r="C26" s="24" t="str">
        <x:v>كوخ الياسمين عربصاليم (Koukh Al Yasmin)</x:v>
      </x:c>
      <x:c r="D26" s="24" t="str">
        <x:v>Recreation / cafe-like venue</x:v>
      </x:c>
      <x:c r="E26" s="24" t="str">
        <x:v>Needs verification</x:v>
      </x:c>
      <x:c r="F26" s="24" t="str">
        <x:v>Municipality Street beside the official school, Arabsalim</x:v>
      </x:c>
      <x:c r="G26" s="24" t="str">
        <x:v>+961 71 665 517</x:v>
      </x:c>
      <x:c r="H26" s="44" t="n">
        <x:v>4.6</x:v>
      </x:c>
      <x:c r="I26" s="46" t="n">
        <x:v>21</x:v>
      </x:c>
      <x:c r="J26" s="24" t="str"/>
      <x:c r="K26" s="24" t="str">
        <x:v>Low</x:v>
      </x:c>
      <x:c r="L26" s="24" t="str">
        <x:v>BizMidEast/local listing</x:v>
      </x:c>
      <x:c r="M26" s="24" t="str"/>
      <x:c r="N26" s="24" t="str">
        <x:v>https://www.google.com/maps/search/?api=1&amp;query=%D9%83%D9%88%D8%AE+%D8%A7%D9%84%D9%8A%D8%A7%D8%B3%D9%85%D9%8A%D9%86+%D8%B9%D8%B1%D8%A8%D8%B5%D8%A7%D9%84%D9%8A%D9%85+%28Koukh+Al+Yasmin%29%2C+Arabsalim%2C+Lebanon</x:v>
      </x:c>
      <x:c r="O26" s="24" t="str">
        <x:v>Venue is primarily recreational; café activity needs confirmation.</x:v>
      </x:c>
      <x:c r="P26" s="24" t="str">
        <x:v>2026-09-07</x:v>
      </x:c>
    </x:row>
    <x:row r="27">
      <x:c r="A27" s="24" t="n">
        <x:v>26</x:v>
      </x:c>
      <x:c r="B27" s="24" t="str">
        <x:v>Arabsalim</x:v>
      </x:c>
      <x:c r="C27" s="24" t="str">
        <x:v>Habboub Fresh Juice</x:v>
      </x:c>
      <x:c r="D27" s="24" t="str">
        <x:v>Juice / cafe</x:v>
      </x:c>
      <x:c r="E27" s="24" t="str">
        <x:v>Closed</x:v>
      </x:c>
      <x:c r="F27" s="24" t="str">
        <x:v>Arab Salim</x:v>
      </x:c>
      <x:c r="G27" s="24" t="str"/>
      <x:c r="H27" s="44"/>
      <x:c r="I27" s="46"/>
      <x:c r="J27" s="24" t="str"/>
      <x:c r="K27" s="24" t="str">
        <x:v>Medium</x:v>
      </x:c>
      <x:c r="L27" s="24" t="str">
        <x:v>Historical local listing</x:v>
      </x:c>
      <x:c r="M27" s="24" t="str"/>
      <x:c r="N27" s="24" t="str">
        <x:v>https://www.google.com/maps/search/?api=1&amp;query=Habboub+Fresh+Juice%2C+Arabsalim%2C+Lebanon</x:v>
      </x:c>
      <x:c r="O27" s="24" t="str">
        <x:v>Older listing marked closed.</x:v>
      </x:c>
      <x:c r="P27" s="24" t="str">
        <x:v>2026-09-07</x:v>
      </x:c>
    </x:row>
    <x:row r="28">
      <x:c r="A28" s="24" t="n">
        <x:v>27</x:v>
      </x:c>
      <x:c r="B28" s="24" t="str">
        <x:v>Bariqaa / Breikaa</x:v>
      </x:c>
      <x:c r="C28" s="24" t="str">
        <x:v>AB coffee shop</x:v>
      </x:c>
      <x:c r="D28" s="24" t="str">
        <x:v>Coffee shop</x:v>
      </x:c>
      <x:c r="E28" s="24" t="str">
        <x:v>Active - verified</x:v>
      </x:c>
      <x:c r="F28" s="24" t="str">
        <x:v>89QJ+P49, Braiqah</x:v>
      </x:c>
      <x:c r="G28" s="24" t="str"/>
      <x:c r="H28" s="44" t="n">
        <x:v>5</x:v>
      </x:c>
      <x:c r="I28" s="46" t="n">
        <x:v>3</x:v>
      </x:c>
      <x:c r="J28" s="24" t="str"/>
      <x:c r="K28" s="24" t="str">
        <x:v>High</x:v>
      </x:c>
      <x:c r="L28" s="24" t="str">
        <x:v>Current local-business listing</x:v>
      </x:c>
      <x:c r="M28" s="24" t="str"/>
      <x:c r="N28" s="24" t="str">
        <x:v>https://www.google.com/maps/search/?api=1&amp;query=AB+coffee+shop%2C+Bariqaa+%2F+Breikaa%2C+Lebanon</x:v>
      </x:c>
      <x:c r="O28" s="24" t="str">
        <x:v>Exact Braiqah address.</x:v>
      </x:c>
      <x:c r="P28" s="24" t="str">
        <x:v>2026-09-07</x:v>
      </x:c>
    </x:row>
    <x:row r="29">
      <x:c r="A29" s="24" t="n">
        <x:v>28</x:v>
      </x:c>
      <x:c r="B29" s="24" t="str">
        <x:v>Al-Sharqiya</x:v>
      </x:c>
      <x:c r="C29" s="24" t="str">
        <x:v>Abo Shehade Coffee Shop</x:v>
      </x:c>
      <x:c r="D29" s="24" t="str">
        <x:v>Coffee shop</x:v>
      </x:c>
      <x:c r="E29" s="24" t="str">
        <x:v>Active - verified</x:v>
      </x:c>
      <x:c r="F29" s="24" t="str">
        <x:v>Square, Charqiyeh, Nabatiye</x:v>
      </x:c>
      <x:c r="G29" s="24" t="str">
        <x:v>+961 76 622 650</x:v>
      </x:c>
      <x:c r="H29" s="44" t="n">
        <x:v>4.5</x:v>
      </x:c>
      <x:c r="I29" s="46" t="n">
        <x:v>39</x:v>
      </x:c>
      <x:c r="J29" s="24" t="str">
        <x:v>Open 24 hours</x:v>
      </x:c>
      <x:c r="K29" s="24" t="str">
        <x:v>High</x:v>
      </x:c>
      <x:c r="L29" s="24" t="str">
        <x:v>Current local-business listing + BizMidEast</x:v>
      </x:c>
      <x:c r="M29" s="24" t="str">
        <x:v>https://www.bizmideast.com/LB/abo-shehade-coffee-shop-76-622-650</x:v>
      </x:c>
      <x:c r="N29" s="24" t="str">
        <x:v>https://www.google.com/maps/search/?api=1&amp;query=Abo+Shehade+Coffee+Shop%2C+Al-Sharqiya%2C+Lebanon</x:v>
      </x:c>
      <x:c r="O29" s="24" t="str"/>
      <x:c r="P29" s="24" t="str">
        <x:v>2026-09-07</x:v>
      </x:c>
    </x:row>
    <x:row r="30">
      <x:c r="A30" s="24" t="n">
        <x:v>29</x:v>
      </x:c>
      <x:c r="B30" s="24" t="str">
        <x:v>Al-Sharqiya</x:v>
      </x:c>
      <x:c r="C30" s="24" t="str">
        <x:v>Kakawo Coffee Shop</x:v>
      </x:c>
      <x:c r="D30" s="24" t="str">
        <x:v>Coffee shop</x:v>
      </x:c>
      <x:c r="E30" s="24" t="str">
        <x:v>Active - verified</x:v>
      </x:c>
      <x:c r="F30" s="24" t="str">
        <x:v>Charqiyeh</x:v>
      </x:c>
      <x:c r="G30" s="24" t="str">
        <x:v>+961 3 151 600</x:v>
      </x:c>
      <x:c r="H30" s="44" t="n">
        <x:v>4.8</x:v>
      </x:c>
      <x:c r="I30" s="46" t="n">
        <x:v>5</x:v>
      </x:c>
      <x:c r="J30" s="24" t="str"/>
      <x:c r="K30" s="24" t="str">
        <x:v>High</x:v>
      </x:c>
      <x:c r="L30" s="24" t="str">
        <x:v>Current local-business listing</x:v>
      </x:c>
      <x:c r="M30" s="24" t="str"/>
      <x:c r="N30" s="24" t="str">
        <x:v>https://www.google.com/maps/search/?api=1&amp;query=Kakawo+Coffee+Shop%2C+Al-Sharqiya%2C+Lebanon</x:v>
      </x:c>
      <x:c r="O30" s="24" t="str"/>
      <x:c r="P30" s="24" t="str">
        <x:v>2026-09-07</x:v>
      </x:c>
    </x:row>
    <x:row r="31">
      <x:c r="A31" s="24" t="n">
        <x:v>30</x:v>
      </x:c>
      <x:c r="B31" s="24" t="str">
        <x:v>Deir Al-Zahrani</x:v>
      </x:c>
      <x:c r="C31" s="24" t="str">
        <x:v>Caffe Abou Hassan</x:v>
      </x:c>
      <x:c r="D31" s="24" t="str">
        <x:v>Coffee shop</x:v>
      </x:c>
      <x:c r="E31" s="24" t="str">
        <x:v>Active - verified</x:v>
      </x:c>
      <x:c r="F31" s="24" t="str">
        <x:v>CFJ3+8RQ, Deir El Zahrani</x:v>
      </x:c>
      <x:c r="G31" s="24" t="str"/>
      <x:c r="H31" s="44" t="n">
        <x:v>5</x:v>
      </x:c>
      <x:c r="I31" s="46" t="n">
        <x:v>2</x:v>
      </x:c>
      <x:c r="J31" s="24" t="str">
        <x:v>Open 24 hours</x:v>
      </x:c>
      <x:c r="K31" s="24" t="str">
        <x:v>High</x:v>
      </x:c>
      <x:c r="L31" s="24" t="str">
        <x:v>Current local-business listing</x:v>
      </x:c>
      <x:c r="M31" s="24" t="str"/>
      <x:c r="N31" s="24" t="str">
        <x:v>https://www.google.com/maps/search/?api=1&amp;query=Caffe+Abou+Hassan%2C+Deir+Al-Zahrani%2C+Lebanon</x:v>
      </x:c>
      <x:c r="O31" s="24" t="str"/>
      <x:c r="P31" s="24" t="str">
        <x:v>2026-09-07</x:v>
      </x:c>
    </x:row>
    <x:row r="32">
      <x:c r="A32" s="24" t="n">
        <x:v>31</x:v>
      </x:c>
      <x:c r="B32" s="24" t="str">
        <x:v>Deir Al-Zahrani</x:v>
      </x:c>
      <x:c r="C32" s="24" t="str">
        <x:v>Cafe abou ali</x:v>
      </x:c>
      <x:c r="D32" s="24" t="str">
        <x:v>Cafe</x:v>
      </x:c>
      <x:c r="E32" s="24" t="str">
        <x:v>Listed current</x:v>
      </x:c>
      <x:c r="F32" s="24" t="str">
        <x:v>Deir Al Zahrani</x:v>
      </x:c>
      <x:c r="G32" s="24" t="str"/>
      <x:c r="H32" s="44"/>
      <x:c r="I32" s="46"/>
      <x:c r="J32" s="24" t="str"/>
      <x:c r="K32" s="24" t="str">
        <x:v>Medium</x:v>
      </x:c>
      <x:c r="L32" s="24" t="str">
        <x:v>Pulled current coffee directory</x:v>
      </x:c>
      <x:c r="M32" s="24" t="str">
        <x:v>https://www.pulled.coffee/city/sidon</x:v>
      </x:c>
      <x:c r="N32" s="24" t="str">
        <x:v>https://www.google.com/maps/search/?api=1&amp;query=Cafe+abou+ali%2C+Deir+Al-Zahrani%2C+Lebanon</x:v>
      </x:c>
      <x:c r="O32" s="24" t="str"/>
      <x:c r="P32" s="24" t="str">
        <x:v>2026-09-07</x:v>
      </x:c>
    </x:row>
    <x:row r="33">
      <x:c r="A33" s="24" t="n">
        <x:v>32</x:v>
      </x:c>
      <x:c r="B33" s="24" t="str">
        <x:v>Deir Al-Zahrani</x:v>
      </x:c>
      <x:c r="C33" s="24" t="str">
        <x:v>Feel resto cafe - مطعم فيل</x:v>
      </x:c>
      <x:c r="D33" s="24" t="str">
        <x:v>Resto-cafe</x:v>
      </x:c>
      <x:c r="E33" s="24" t="str">
        <x:v>Active - verified</x:v>
      </x:c>
      <x:c r="F33" s="24" t="str">
        <x:v>Main Road, Deir El Zahrani</x:v>
      </x:c>
      <x:c r="G33" s="24" t="str">
        <x:v>+961 76 775 395</x:v>
      </x:c>
      <x:c r="H33" s="44" t="n">
        <x:v>5</x:v>
      </x:c>
      <x:c r="I33" s="46" t="n">
        <x:v>1</x:v>
      </x:c>
      <x:c r="J33" s="24" t="str">
        <x:v>10:00–02:00 daily</x:v>
      </x:c>
      <x:c r="K33" s="24" t="str">
        <x:v>High</x:v>
      </x:c>
      <x:c r="L33" s="24" t="str">
        <x:v>Current local-business listing</x:v>
      </x:c>
      <x:c r="M33" s="24" t="str"/>
      <x:c r="N33" s="24" t="str">
        <x:v>https://www.google.com/maps/search/?api=1&amp;query=Feel+resto+cafe+-+%D9%85%D8%B7%D8%B9%D9%85+%D9%81%D9%8A%D9%84%2C+Deir+Al-Zahrani%2C+Lebanon</x:v>
      </x:c>
      <x:c r="O33" s="24" t="str">
        <x:v>Mixed restaurant/cafe venue.</x:v>
      </x:c>
      <x:c r="P33" s="24" t="str">
        <x:v>2026-09-07</x:v>
      </x:c>
    </x:row>
    <x:row r="34">
      <x:c r="A34" s="24" t="n">
        <x:v>33</x:v>
      </x:c>
      <x:c r="B34" s="24" t="str">
        <x:v>Doueir</x:v>
      </x:c>
      <x:c r="C34" s="24" t="str">
        <x:v>عالطريق Café</x:v>
      </x:c>
      <x:c r="D34" s="24" t="str">
        <x:v>Cafe</x:v>
      </x:c>
      <x:c r="E34" s="24" t="str">
        <x:v>Active - verified</x:v>
      </x:c>
      <x:c r="F34" s="24" t="str">
        <x:v>99PW+348, Doueir Main Road</x:v>
      </x:c>
      <x:c r="G34" s="24" t="str"/>
      <x:c r="H34" s="44" t="n">
        <x:v>5</x:v>
      </x:c>
      <x:c r="I34" s="46" t="n">
        <x:v>1</x:v>
      </x:c>
      <x:c r="J34" s="24" t="str">
        <x:v>Mon–Sat 06:00–18:00; Sun 10:00–20:00</x:v>
      </x:c>
      <x:c r="K34" s="24" t="str">
        <x:v>High</x:v>
      </x:c>
      <x:c r="L34" s="24" t="str">
        <x:v>Current local-business listing</x:v>
      </x:c>
      <x:c r="M34" s="24" t="str"/>
      <x:c r="N34" s="24" t="str">
        <x:v>https://www.google.com/maps/search/?api=1&amp;query=%D8%B9%D8%A7%D9%84%D8%B7%D8%B1%D9%8A%D9%82+Caf%C3%A9%2C+Doueir%2C+Lebanon</x:v>
      </x:c>
      <x:c r="O34" s="24" t="str"/>
      <x:c r="P34" s="24" t="str">
        <x:v>2026-09-07</x:v>
      </x:c>
    </x:row>
    <x:row r="35">
      <x:c r="A35" s="24" t="n">
        <x:v>34</x:v>
      </x:c>
      <x:c r="B35" s="24" t="str">
        <x:v>Doueir</x:v>
      </x:c>
      <x:c r="C35" s="24" t="str">
        <x:v>Lebanon restaurant</x:v>
      </x:c>
      <x:c r="D35" s="24" t="str">
        <x:v>Cafe</x:v>
      </x:c>
      <x:c r="E35" s="24" t="str">
        <x:v>Active - verified</x:v>
      </x:c>
      <x:c r="F35" s="24" t="str">
        <x:v>Main St, Doueir</x:v>
      </x:c>
      <x:c r="G35" s="24" t="str"/>
      <x:c r="H35" s="44"/>
      <x:c r="I35" s="46"/>
      <x:c r="J35" s="24" t="str"/>
      <x:c r="K35" s="24" t="str">
        <x:v>Medium</x:v>
      </x:c>
      <x:c r="L35" s="24" t="str">
        <x:v>Current local-business listing (category = Cafe)</x:v>
      </x:c>
      <x:c r="M35" s="24" t="str"/>
      <x:c r="N35" s="24" t="str">
        <x:v>https://www.google.com/maps/search/?api=1&amp;query=Lebanon+restaurant%2C+Doueir%2C+Lebanon</x:v>
      </x:c>
      <x:c r="O35" s="24" t="str">
        <x:v>Generic business name; exact Doueir address.</x:v>
      </x:c>
      <x:c r="P35" s="24" t="str">
        <x:v>2026-09-07</x:v>
      </x:c>
    </x:row>
    <x:row r="36">
      <x:c r="A36" s="24" t="n">
        <x:v>35</x:v>
      </x:c>
      <x:c r="B36" s="24" t="str">
        <x:v>Habbouch</x:v>
      </x:c>
      <x:c r="C36" s="24" t="str">
        <x:v>Steams coffee shop</x:v>
      </x:c>
      <x:c r="D36" s="24" t="str">
        <x:v>Coffee shop</x:v>
      </x:c>
      <x:c r="E36" s="24" t="str">
        <x:v>Active - verified</x:v>
      </x:c>
      <x:c r="F36" s="24" t="str">
        <x:v>Habbouch, Nabatieh</x:v>
      </x:c>
      <x:c r="G36" s="24" t="str">
        <x:v>+961 3 626 780</x:v>
      </x:c>
      <x:c r="H36" s="44" t="n">
        <x:v>4.6</x:v>
      </x:c>
      <x:c r="I36" s="46" t="n">
        <x:v>29</x:v>
      </x:c>
      <x:c r="J36" s="24" t="str">
        <x:v>08:00–00:00 daily</x:v>
      </x:c>
      <x:c r="K36" s="24" t="str">
        <x:v>High</x:v>
      </x:c>
      <x:c r="L36" s="24" t="str">
        <x:v>Current local-business listing</x:v>
      </x:c>
      <x:c r="M36" s="24" t="str"/>
      <x:c r="N36" s="24" t="str">
        <x:v>https://www.google.com/maps/search/?api=1&amp;query=Steams+coffee+shop%2C+Habbouch%2C+Lebanon</x:v>
      </x:c>
      <x:c r="O36" s="24" t="str"/>
      <x:c r="P36" s="24" t="str">
        <x:v>2026-09-07</x:v>
      </x:c>
    </x:row>
    <x:row r="37">
      <x:c r="A37" s="24" t="n">
        <x:v>36</x:v>
      </x:c>
      <x:c r="B37" s="24" t="str">
        <x:v>Habbouch</x:v>
      </x:c>
      <x:c r="C37" s="24" t="str">
        <x:v>Caffeine speciality coffee roastery</x:v>
      </x:c>
      <x:c r="D37" s="24" t="str">
        <x:v>Coffee roastery / coffee shop</x:v>
      </x:c>
      <x:c r="E37" s="24" t="str">
        <x:v>Active - verified</x:v>
      </x:c>
      <x:c r="F37" s="24" t="str">
        <x:v>Al Eqlim, Main Road, Habbouch</x:v>
      </x:c>
      <x:c r="G37" s="24" t="str">
        <x:v>+961 71 255 893</x:v>
      </x:c>
      <x:c r="H37" s="44" t="n">
        <x:v>4.6</x:v>
      </x:c>
      <x:c r="I37" s="46" t="n">
        <x:v>27</x:v>
      </x:c>
      <x:c r="J37" s="24" t="str"/>
      <x:c r="K37" s="24" t="str">
        <x:v>High</x:v>
      </x:c>
      <x:c r="L37" s="24" t="str">
        <x:v>Current local-business listing + WenRayhin</x:v>
      </x:c>
      <x:c r="M37" s="24" t="str">
        <x:v>https://wenrayhin.com/en/places/caffeine-speciality-coffee-roastery-nabatieh</x:v>
      </x:c>
      <x:c r="N37" s="24" t="str">
        <x:v>https://www.google.com/maps/search/?api=1&amp;query=Caffeine+speciality+coffee+roastery%2C+Habbouch%2C+Lebanon</x:v>
      </x:c>
      <x:c r="O37" s="24" t="str">
        <x:v>Phone/hours differ across public sources; exact Habbouch location is well supported.</x:v>
      </x:c>
      <x:c r="P37" s="24" t="str">
        <x:v>2026-09-07</x:v>
      </x:c>
    </x:row>
    <x:row r="38">
      <x:c r="A38" s="24" t="n">
        <x:v>37</x:v>
      </x:c>
      <x:c r="B38" s="24" t="str">
        <x:v>Habbouch</x:v>
      </x:c>
      <x:c r="C38" s="24" t="str">
        <x:v>Makan coffeeshop - مكان</x:v>
      </x:c>
      <x:c r="D38" s="24" t="str">
        <x:v>Coffee shop</x:v>
      </x:c>
      <x:c r="E38" s="24" t="str">
        <x:v>Active - verified</x:v>
      </x:c>
      <x:c r="F38" s="24" t="str">
        <x:v>CF7M+8H8, Habbouch</x:v>
      </x:c>
      <x:c r="G38" s="24" t="str">
        <x:v>+961 81 163 427</x:v>
      </x:c>
      <x:c r="H38" s="44" t="n">
        <x:v>5</x:v>
      </x:c>
      <x:c r="I38" s="46" t="n">
        <x:v>4</x:v>
      </x:c>
      <x:c r="J38" s="24" t="str">
        <x:v>08:00–22:30 daily</x:v>
      </x:c>
      <x:c r="K38" s="24" t="str">
        <x:v>High</x:v>
      </x:c>
      <x:c r="L38" s="24" t="str">
        <x:v>Current local-business listing + WenRayhin</x:v>
      </x:c>
      <x:c r="M38" s="24" t="str">
        <x:v>https://wenrayhin.com/en/places/makan-coffeeshop-nabatieh</x:v>
      </x:c>
      <x:c r="N38" s="24" t="str">
        <x:v>https://www.google.com/maps/search/?api=1&amp;query=Makan+coffeeshop+-+%D9%85%D9%83%D8%A7%D9%86%2C+Habbouch%2C+Lebanon</x:v>
      </x:c>
      <x:c r="O38" s="24" t="str"/>
      <x:c r="P38" s="24" t="str">
        <x:v>2026-09-07</x:v>
      </x:c>
    </x:row>
    <x:row r="39">
      <x:c r="A39" s="24" t="n">
        <x:v>38</x:v>
      </x:c>
      <x:c r="B39" s="24" t="str">
        <x:v>Habbouch</x:v>
      </x:c>
      <x:c r="C39" s="24" t="str">
        <x:v>King’s café</x:v>
      </x:c>
      <x:c r="D39" s="24" t="str">
        <x:v>Cafe</x:v>
      </x:c>
      <x:c r="E39" s="24" t="str">
        <x:v>Listed current</x:v>
      </x:c>
      <x:c r="F39" s="24" t="str">
        <x:v>CF4H+XCH, Habbouch</x:v>
      </x:c>
      <x:c r="G39" s="24" t="str">
        <x:v>+961 81 591 428</x:v>
      </x:c>
      <x:c r="H39" s="44"/>
      <x:c r="I39" s="46"/>
      <x:c r="J39" s="24" t="str"/>
      <x:c r="K39" s="24" t="str">
        <x:v>Medium</x:v>
      </x:c>
      <x:c r="L39" s="24" t="str">
        <x:v>WenRayhin</x:v>
      </x:c>
      <x:c r="M39" s="24" t="str">
        <x:v>https://wenrayhin.com/en/places/king-s-cafe-habboush</x:v>
      </x:c>
      <x:c r="N39" s="24" t="str">
        <x:v>https://www.google.com/maps/search/?api=1&amp;query=King%E2%80%99s+caf%C3%A9%2C+Habbouch%2C+Lebanon</x:v>
      </x:c>
      <x:c r="O39" s="24" t="str"/>
      <x:c r="P39" s="24" t="str">
        <x:v>2026-09-07</x:v>
      </x:c>
    </x:row>
    <x:row r="40">
      <x:c r="A40" s="24" t="n">
        <x:v>39</x:v>
      </x:c>
      <x:c r="B40" s="24" t="str">
        <x:v>Habbouch</x:v>
      </x:c>
      <x:c r="C40" s="24" t="str">
        <x:v>Qahwafee</x:v>
      </x:c>
      <x:c r="D40" s="24" t="str">
        <x:v>Coffee shop</x:v>
      </x:c>
      <x:c r="E40" s="24" t="str">
        <x:v>Active - verified</x:v>
      </x:c>
      <x:c r="F40" s="24" t="str">
        <x:v>Habbouch</x:v>
      </x:c>
      <x:c r="G40" s="24" t="str"/>
      <x:c r="H40" s="44" t="n">
        <x:v>5</x:v>
      </x:c>
      <x:c r="I40" s="46" t="n">
        <x:v>1</x:v>
      </x:c>
      <x:c r="J40" s="24" t="str">
        <x:v>07:30–23:30 daily</x:v>
      </x:c>
      <x:c r="K40" s="24" t="str">
        <x:v>High</x:v>
      </x:c>
      <x:c r="L40" s="24" t="str">
        <x:v>Current local-business listing + WenRayhin</x:v>
      </x:c>
      <x:c r="M40" s="24" t="str">
        <x:v>https://wenrayhin.com/en/places/qahwafee-habboush</x:v>
      </x:c>
      <x:c r="N40" s="24" t="str">
        <x:v>https://www.google.com/maps/search/?api=1&amp;query=Qahwafee%2C+Habbouch%2C+Lebanon</x:v>
      </x:c>
      <x:c r="O40" s="24" t="str"/>
      <x:c r="P40" s="24" t="str">
        <x:v>2026-09-07</x:v>
      </x:c>
    </x:row>
    <x:row r="41">
      <x:c r="A41" s="24" t="n">
        <x:v>40</x:v>
      </x:c>
      <x:c r="B41" s="24" t="str">
        <x:v>Habbouch</x:v>
      </x:c>
      <x:c r="C41" s="24" t="str">
        <x:v>Coffeeshop Al Baidar</x:v>
      </x:c>
      <x:c r="D41" s="24" t="str">
        <x:v>Cafe</x:v>
      </x:c>
      <x:c r="E41" s="24" t="str">
        <x:v>Active - verified</x:v>
      </x:c>
      <x:c r="F41" s="24" t="str">
        <x:v>Al Baidar, Habbouch</x:v>
      </x:c>
      <x:c r="G41" s="24" t="str">
        <x:v>+961 70 884 743</x:v>
      </x:c>
      <x:c r="H41" s="44" t="n">
        <x:v>4.3</x:v>
      </x:c>
      <x:c r="I41" s="46" t="n">
        <x:v>16</x:v>
      </x:c>
      <x:c r="J41" s="24" t="str">
        <x:v>Open 24 hours</x:v>
      </x:c>
      <x:c r="K41" s="24" t="str">
        <x:v>High</x:v>
      </x:c>
      <x:c r="L41" s="24" t="str">
        <x:v>Current local-business listing</x:v>
      </x:c>
      <x:c r="M41" s="24" t="str"/>
      <x:c r="N41" s="24" t="str">
        <x:v>https://www.google.com/maps/search/?api=1&amp;query=Coffeeshop+Al+Baidar%2C+Habbouch%2C+Lebanon</x:v>
      </x:c>
      <x:c r="O41" s="24" t="str"/>
      <x:c r="P41" s="24" t="str">
        <x:v>2026-09-07</x:v>
      </x:c>
    </x:row>
    <x:row r="42">
      <x:c r="A42" s="24" t="n">
        <x:v>41</x:v>
      </x:c>
      <x:c r="B42" s="24" t="str">
        <x:v>Habbouch</x:v>
      </x:c>
      <x:c r="C42" s="24" t="str">
        <x:v>Cafe Al Baas</x:v>
      </x:c>
      <x:c r="D42" s="24" t="str">
        <x:v>Cafe</x:v>
      </x:c>
      <x:c r="E42" s="24" t="str">
        <x:v>Listed current</x:v>
      </x:c>
      <x:c r="F42" s="24" t="str">
        <x:v>9FWQ+5CM, Habbouch</x:v>
      </x:c>
      <x:c r="G42" s="24" t="str">
        <x:v>+961 81 076 902</x:v>
      </x:c>
      <x:c r="H42" s="44"/>
      <x:c r="I42" s="46"/>
      <x:c r="J42" s="24" t="str">
        <x:v>07:00–01:00 daily</x:v>
      </x:c>
      <x:c r="K42" s="24" t="str">
        <x:v>Medium</x:v>
      </x:c>
      <x:c r="L42" s="24" t="str">
        <x:v>WenRayhin</x:v>
      </x:c>
      <x:c r="M42" s="24" t="str">
        <x:v>https://wenrayhin.com/en/places/cafe-al-baas-habboush</x:v>
      </x:c>
      <x:c r="N42" s="24" t="str">
        <x:v>https://www.google.com/maps/search/?api=1&amp;query=Cafe+Al+Baas%2C+Habbouch%2C+Lebanon</x:v>
      </x:c>
      <x:c r="O42" s="24" t="str"/>
      <x:c r="P42" s="24" t="str">
        <x:v>2026-09-07</x:v>
      </x:c>
    </x:row>
    <x:row r="43">
      <x:c r="A43" s="24" t="n">
        <x:v>42</x:v>
      </x:c>
      <x:c r="B43" s="24" t="str">
        <x:v>Habbouch</x:v>
      </x:c>
      <x:c r="C43" s="24" t="str">
        <x:v>Blue Lagoon Cafe</x:v>
      </x:c>
      <x:c r="D43" s="24" t="str">
        <x:v>Cafe</x:v>
      </x:c>
      <x:c r="E43" s="24" t="str">
        <x:v>Active - verified</x:v>
      </x:c>
      <x:c r="F43" s="24" t="str">
        <x:v>CF6H+4CJ, Habbouch</x:v>
      </x:c>
      <x:c r="G43" s="24" t="str">
        <x:v>+961 76 796 030</x:v>
      </x:c>
      <x:c r="H43" s="44" t="n">
        <x:v>4.6</x:v>
      </x:c>
      <x:c r="I43" s="46" t="n">
        <x:v>9</x:v>
      </x:c>
      <x:c r="J43" s="24" t="str">
        <x:v>10:00–23:00 daily</x:v>
      </x:c>
      <x:c r="K43" s="24" t="str">
        <x:v>High</x:v>
      </x:c>
      <x:c r="L43" s="24" t="str">
        <x:v>Current local-business listing</x:v>
      </x:c>
      <x:c r="M43" s="24" t="str"/>
      <x:c r="N43" s="24" t="str">
        <x:v>https://www.google.com/maps/search/?api=1&amp;query=Blue+Lagoon+Cafe%2C+Habbouch%2C+Lebanon</x:v>
      </x:c>
      <x:c r="O43" s="24" t="str"/>
      <x:c r="P43" s="24" t="str">
        <x:v>2026-09-07</x:v>
      </x:c>
    </x:row>
    <x:row r="44">
      <x:c r="A44" s="24" t="n">
        <x:v>43</x:v>
      </x:c>
      <x:c r="B44" s="24" t="str">
        <x:v>Habbouch</x:v>
      </x:c>
      <x:c r="C44" s="24" t="str">
        <x:v>Abo ali cafe</x:v>
      </x:c>
      <x:c r="D44" s="24" t="str">
        <x:v>Cafe</x:v>
      </x:c>
      <x:c r="E44" s="24" t="str">
        <x:v>Listed current</x:v>
      </x:c>
      <x:c r="F44" s="24" t="str">
        <x:v>Habbouch</x:v>
      </x:c>
      <x:c r="G44" s="24" t="str"/>
      <x:c r="H44" s="44"/>
      <x:c r="I44" s="46"/>
      <x:c r="J44" s="24" t="str"/>
      <x:c r="K44" s="24" t="str">
        <x:v>Medium</x:v>
      </x:c>
      <x:c r="L44" s="24" t="str">
        <x:v>Pulled current coffee directory</x:v>
      </x:c>
      <x:c r="M44" s="24" t="str">
        <x:v>https://www.pulled.coffee/coffee-near-me/sidon</x:v>
      </x:c>
      <x:c r="N44" s="24" t="str">
        <x:v>https://www.google.com/maps/search/?api=1&amp;query=Abo+ali+cafe%2C+Habbouch%2C+Lebanon</x:v>
      </x:c>
      <x:c r="O44" s="24" t="str"/>
      <x:c r="P44" s="24" t="str">
        <x:v>2026-09-07</x:v>
      </x:c>
    </x:row>
    <x:row r="45">
      <x:c r="A45" s="24" t="n">
        <x:v>44</x:v>
      </x:c>
      <x:c r="B45" s="24" t="str">
        <x:v>Habbouch</x:v>
      </x:c>
      <x:c r="C45" s="24" t="str">
        <x:v>Agora coffeeshop</x:v>
      </x:c>
      <x:c r="D45" s="24" t="str">
        <x:v>Coffee shop</x:v>
      </x:c>
      <x:c r="E45" s="24" t="str">
        <x:v>Needs verification</x:v>
      </x:c>
      <x:c r="F45" s="24" t="str">
        <x:v>Habbouch</x:v>
      </x:c>
      <x:c r="G45" s="24" t="str"/>
      <x:c r="H45" s="44"/>
      <x:c r="I45" s="46"/>
      <x:c r="J45" s="24" t="str"/>
      <x:c r="K45" s="24" t="str">
        <x:v>Medium</x:v>
      </x:c>
      <x:c r="L45" s="24" t="str">
        <x:v>Pulled current coffee directory</x:v>
      </x:c>
      <x:c r="M45" s="24" t="str">
        <x:v>https://www.pulled.coffee/coffee-near-me/sidon</x:v>
      </x:c>
      <x:c r="N45" s="24" t="str">
        <x:v>https://www.google.com/maps/search/?api=1&amp;query=Agora+coffeeshop%2C+Habbouch%2C+Lebanon</x:v>
      </x:c>
      <x:c r="O45" s="24" t="str">
        <x:v>Potential name confusion with AGORA COFFEE SHOP in Nabatieh Al-Fawqa.</x:v>
      </x:c>
      <x:c r="P45" s="24" t="str">
        <x:v>2026-09-07</x:v>
      </x:c>
    </x:row>
    <x:row r="46">
      <x:c r="A46" s="24" t="n">
        <x:v>45</x:v>
      </x:c>
      <x:c r="B46" s="24" t="str">
        <x:v>Habbouch</x:v>
      </x:c>
      <x:c r="C46" s="24" t="str">
        <x:v>طهماز للاراغيل و الطباعه</x:v>
      </x:c>
      <x:c r="D46" s="24" t="str">
        <x:v>Hookah / cafe-related</x:v>
      </x:c>
      <x:c r="E46" s="24" t="str">
        <x:v>Needs verification</x:v>
      </x:c>
      <x:c r="F46" s="24" t="str">
        <x:v>CF6J+H5H, Habbouch</x:v>
      </x:c>
      <x:c r="G46" s="24" t="str"/>
      <x:c r="H46" s="44"/>
      <x:c r="I46" s="46"/>
      <x:c r="J46" s="24" t="str"/>
      <x:c r="K46" s="24" t="str">
        <x:v>Low</x:v>
      </x:c>
      <x:c r="L46" s="24" t="str">
        <x:v>Cybo Habbouch cafe classification</x:v>
      </x:c>
      <x:c r="M46" s="24" t="str">
        <x:v>https://yellowpages-ar.cybo.com/LB/habbo%C3%BBch/%D8%A7%D9%84%D9%85%D8%B7%D8%A7%D8%B9%D9%85/</x:v>
      </x:c>
      <x:c r="N46" s="24" t="str">
        <x:v>https://www.google.com/maps/search/?api=1&amp;query=%D8%B7%D9%87%D9%85%D8%A7%D8%B2+%D9%84%D9%84%D8%A7%D8%B1%D8%A7%D8%BA%D9%8A%D9%84+%D9%88+%D8%A7%D9%84%D8%B7%D8%A8%D8%A7%D8%B9%D9%87%2C+Habbouch%2C+Lebanon</x:v>
      </x:c>
      <x:c r="O46" s="24" t="str">
        <x:v>May be primarily hookah/retail rather than a conventional cafe.</x:v>
      </x:c>
      <x:c r="P46" s="24" t="str">
        <x:v>2026-09-07</x:v>
      </x:c>
    </x:row>
    <x:row r="47">
      <x:c r="A47" s="24" t="n">
        <x:v>46</x:v>
      </x:c>
      <x:c r="B47" s="24" t="str">
        <x:v>Habbouch</x:v>
      </x:c>
      <x:c r="C47" s="24" t="str">
        <x:v>JoyMondo</x:v>
      </x:c>
      <x:c r="D47" s="24" t="str">
        <x:v>Indoor playground &amp; cafe</x:v>
      </x:c>
      <x:c r="E47" s="24" t="str">
        <x:v>Needs verification</x:v>
      </x:c>
      <x:c r="F47" s="24" t="str">
        <x:v>9FXM+27J, Habbouch</x:v>
      </x:c>
      <x:c r="G47" s="24" t="str">
        <x:v>+961 76 915 495</x:v>
      </x:c>
      <x:c r="H47" s="44"/>
      <x:c r="I47" s="46"/>
      <x:c r="J47" s="24" t="str"/>
      <x:c r="K47" s="24" t="str">
        <x:v>Medium</x:v>
      </x:c>
      <x:c r="L47" s="24" t="str">
        <x:v>Digital-menu/local discovery</x:v>
      </x:c>
      <x:c r="M47" s="24" t="str"/>
      <x:c r="N47" s="24" t="str">
        <x:v>https://www.google.com/maps/search/?api=1&amp;query=JoyMondo%2C+Habbouch%2C+Lebanon</x:v>
      </x:c>
      <x:c r="O47" s="24" t="str">
        <x:v>Cafe menu includes coffee, frappes, drinks and snacks.</x:v>
      </x:c>
      <x:c r="P47" s="24" t="str">
        <x:v>2026-09-07</x:v>
      </x:c>
    </x:row>
    <x:row r="48">
      <x:c r="A48" s="24" t="n">
        <x:v>47</x:v>
      </x:c>
      <x:c r="B48" s="24" t="str">
        <x:v>Harouf</x:v>
      </x:c>
      <x:c r="C48" s="24" t="str">
        <x:v>cafe abou yussef</x:v>
      </x:c>
      <x:c r="D48" s="24" t="str">
        <x:v>Coffee shop</x:v>
      </x:c>
      <x:c r="E48" s="24" t="str">
        <x:v>Active - verified</x:v>
      </x:c>
      <x:c r="F48" s="24" t="str">
        <x:v>9CJX+7CQ, Harouf</x:v>
      </x:c>
      <x:c r="G48" s="24" t="str"/>
      <x:c r="H48" s="44"/>
      <x:c r="I48" s="46"/>
      <x:c r="J48" s="24" t="str">
        <x:v>Open 24 hours</x:v>
      </x:c>
      <x:c r="K48" s="24" t="str">
        <x:v>High</x:v>
      </x:c>
      <x:c r="L48" s="24" t="str">
        <x:v>Current local-business listing</x:v>
      </x:c>
      <x:c r="M48" s="24" t="str"/>
      <x:c r="N48" s="24" t="str">
        <x:v>https://www.google.com/maps/search/?api=1&amp;query=cafe+abou+yussef%2C+Harouf%2C+Lebanon</x:v>
      </x:c>
      <x:c r="O48" s="24" t="str"/>
      <x:c r="P48" s="24" t="str">
        <x:v>2026-09-07</x:v>
      </x:c>
    </x:row>
    <x:row r="49">
      <x:c r="A49" s="24" t="n">
        <x:v>48</x:v>
      </x:c>
      <x:c r="B49" s="24" t="str">
        <x:v>Houmine Al-Fawqa</x:v>
      </x:c>
      <x:c r="C49" s="24" t="str">
        <x:v>AL-Habib RestoCafe</x:v>
      </x:c>
      <x:c r="D49" s="24" t="str">
        <x:v>Resto-cafe</x:v>
      </x:c>
      <x:c r="E49" s="24" t="str">
        <x:v>Active - verified</x:v>
      </x:c>
      <x:c r="F49" s="24" t="str">
        <x:v>CFQJ+86, Houmine El Faouqa</x:v>
      </x:c>
      <x:c r="G49" s="24" t="str"/>
      <x:c r="H49" s="44" t="n">
        <x:v>4.8</x:v>
      </x:c>
      <x:c r="I49" s="46" t="n">
        <x:v>6</x:v>
      </x:c>
      <x:c r="J49" s="24" t="str">
        <x:v>16:00–00:00 daily</x:v>
      </x:c>
      <x:c r="K49" s="24" t="str">
        <x:v>High</x:v>
      </x:c>
      <x:c r="L49" s="24" t="str">
        <x:v>Current local-business listing + Pulled</x:v>
      </x:c>
      <x:c r="M49" s="24" t="str">
        <x:v>https://www.pulled.coffee/shop/al-habib-restocafe-sidon</x:v>
      </x:c>
      <x:c r="N49" s="24" t="str">
        <x:v>https://www.google.com/maps/search/?api=1&amp;query=AL-Habib+RestoCafe%2C+Houmine+Al-Fawqa%2C+Lebanon</x:v>
      </x:c>
      <x:c r="O49" s="24" t="str"/>
      <x:c r="P49" s="24" t="str">
        <x:v>2026-09-07</x:v>
      </x:c>
    </x:row>
    <x:row r="50">
      <x:c r="A50" s="24" t="n">
        <x:v>49</x:v>
      </x:c>
      <x:c r="B50" s="24" t="str">
        <x:v>Houmine Al-Fawqa</x:v>
      </x:c>
      <x:c r="C50" s="24" t="str">
        <x:v>Kahwati caffe</x:v>
      </x:c>
      <x:c r="D50" s="24" t="str">
        <x:v>Cafe</x:v>
      </x:c>
      <x:c r="E50" s="24" t="str">
        <x:v>Active - verified</x:v>
      </x:c>
      <x:c r="F50" s="24" t="str">
        <x:v>FF4Q+2PH, Houmine El Faouqa</x:v>
      </x:c>
      <x:c r="G50" s="24" t="str">
        <x:v>+961 3 359 984</x:v>
      </x:c>
      <x:c r="H50" s="44" t="n">
        <x:v>4.8</x:v>
      </x:c>
      <x:c r="I50" s="46" t="n">
        <x:v>10</x:v>
      </x:c>
      <x:c r="J50" s="24" t="str">
        <x:v>06:00–00:00 daily</x:v>
      </x:c>
      <x:c r="K50" s="24" t="str">
        <x:v>High</x:v>
      </x:c>
      <x:c r="L50" s="24" t="str">
        <x:v>Current local-business listing</x:v>
      </x:c>
      <x:c r="M50" s="24" t="str"/>
      <x:c r="N50" s="24" t="str">
        <x:v>https://www.google.com/maps/search/?api=1&amp;query=Kahwati+caffe%2C+Houmine+Al-Fawqa%2C+Lebanon</x:v>
      </x:c>
      <x:c r="O50" s="24" t="str"/>
      <x:c r="P50" s="24" t="str">
        <x:v>2026-09-07</x:v>
      </x:c>
    </x:row>
    <x:row r="51">
      <x:c r="A51" s="24" t="n">
        <x:v>50</x:v>
      </x:c>
      <x:c r="B51" s="24" t="str">
        <x:v>Houmine Al-Fawqa</x:v>
      </x:c>
      <x:c r="C51" s="24" t="str">
        <x:v>Coffee shop (unnamed map listing)</x:v>
      </x:c>
      <x:c r="D51" s="24" t="str">
        <x:v>Coffee shop</x:v>
      </x:c>
      <x:c r="E51" s="24" t="str">
        <x:v>Needs verification</x:v>
      </x:c>
      <x:c r="F51" s="24" t="str">
        <x:v>Houmin, Nabatiyeh El Faouqa</x:v>
      </x:c>
      <x:c r="G51" s="24" t="str"/>
      <x:c r="H51" s="44"/>
      <x:c r="I51" s="46"/>
      <x:c r="J51" s="24" t="str"/>
      <x:c r="K51" s="24" t="str">
        <x:v>Low</x:v>
      </x:c>
      <x:c r="L51" s="24" t="str">
        <x:v>Current local-business listing</x:v>
      </x:c>
      <x:c r="M51" s="24" t="str"/>
      <x:c r="N51" s="24" t="str">
        <x:v>https://www.google.com/maps/search/?api=1&amp;query=Coffee+shop+%28unnamed+map+listing%29%2C+Houmine+Al-Fawqa%2C+Lebanon</x:v>
      </x:c>
      <x:c r="O51" s="24" t="str">
        <x:v>Unnamed listing; may duplicate another local venue.</x:v>
      </x:c>
      <x:c r="P51" s="24" t="str">
        <x:v>2026-09-07</x:v>
      </x:c>
    </x:row>
    <x:row r="52">
      <x:c r="A52" s="24" t="n">
        <x:v>51</x:v>
      </x:c>
      <x:c r="B52" s="24" t="str">
        <x:v>Jbaa–Ain Bouswar</x:v>
      </x:c>
      <x:c r="C52" s="24" t="str">
        <x:v>Cafe l dawle</x:v>
      </x:c>
      <x:c r="D52" s="24" t="str">
        <x:v>Coffee shop</x:v>
      </x:c>
      <x:c r="E52" s="24" t="str">
        <x:v>Active - verified</x:v>
      </x:c>
      <x:c r="F52" s="24" t="str">
        <x:v>FGMC+J3Q, Jbaa</x:v>
      </x:c>
      <x:c r="G52" s="24" t="str">
        <x:v>+961 78 911 752</x:v>
      </x:c>
      <x:c r="H52" s="44" t="n">
        <x:v>5</x:v>
      </x:c>
      <x:c r="I52" s="46" t="n">
        <x:v>1</x:v>
      </x:c>
      <x:c r="J52" s="24" t="str"/>
      <x:c r="K52" s="24" t="str">
        <x:v>High</x:v>
      </x:c>
      <x:c r="L52" s="24" t="str">
        <x:v>Current local-business listing</x:v>
      </x:c>
      <x:c r="M52" s="24" t="str"/>
      <x:c r="N52" s="24" t="str">
        <x:v>https://www.google.com/maps/search/?api=1&amp;query=Cafe+l+dawle%2C+Jbaa%E2%80%93Ain+Bouswar%2C+Lebanon</x:v>
      </x:c>
      <x:c r="O52" s="24" t="str"/>
      <x:c r="P52" s="24" t="str">
        <x:v>2026-09-07</x:v>
      </x:c>
    </x:row>
    <x:row r="53">
      <x:c r="A53" s="24" t="n">
        <x:v>52</x:v>
      </x:c>
      <x:c r="B53" s="24" t="str">
        <x:v>Jbaa–Ain Bouswar</x:v>
      </x:c>
      <x:c r="C53" s="24" t="str">
        <x:v>ABWAB Resto Cafe</x:v>
      </x:c>
      <x:c r="D53" s="24" t="str">
        <x:v>Resto-cafe</x:v>
      </x:c>
      <x:c r="E53" s="24" t="str">
        <x:v>Active - verified</x:v>
      </x:c>
      <x:c r="F53" s="24" t="str">
        <x:v>Wadi Kafara, Jbaa</x:v>
      </x:c>
      <x:c r="G53" s="24" t="str">
        <x:v>+961 81 811 070</x:v>
      </x:c>
      <x:c r="H53" s="44" t="n">
        <x:v>4.7</x:v>
      </x:c>
      <x:c r="I53" s="46" t="n">
        <x:v>44</x:v>
      </x:c>
      <x:c r="J53" s="24" t="str">
        <x:v>09:00–00:00 daily</x:v>
      </x:c>
      <x:c r="K53" s="24" t="str">
        <x:v>High</x:v>
      </x:c>
      <x:c r="L53" s="24" t="str">
        <x:v>Current local-business listing</x:v>
      </x:c>
      <x:c r="M53" s="24" t="str"/>
      <x:c r="N53" s="24" t="str">
        <x:v>https://www.google.com/maps/search/?api=1&amp;query=ABWAB+Resto+Cafe%2C+Jbaa%E2%80%93Ain+Bouswar%2C+Lebanon</x:v>
      </x:c>
      <x:c r="O53" s="24" t="str">
        <x:v>Mixed restaurant/cafe venue.</x:v>
      </x:c>
      <x:c r="P53" s="24" t="str">
        <x:v>2026-09-07</x:v>
      </x:c>
    </x:row>
    <x:row r="54">
      <x:c r="A54" s="24" t="n">
        <x:v>53</x:v>
      </x:c>
      <x:c r="B54" s="24" t="str">
        <x:v>Jibchit</x:v>
      </x:c>
      <x:c r="C54" s="24" t="str">
        <x:v>moussa cafe</x:v>
      </x:c>
      <x:c r="D54" s="24" t="str">
        <x:v>Cafe</x:v>
      </x:c>
      <x:c r="E54" s="24" t="str">
        <x:v>Listed current</x:v>
      </x:c>
      <x:c r="F54" s="24" t="str">
        <x:v>Jibchit</x:v>
      </x:c>
      <x:c r="G54" s="24" t="str"/>
      <x:c r="H54" s="44" t="n">
        <x:v>5</x:v>
      </x:c>
      <x:c r="I54" s="46"/>
      <x:c r="J54" s="24" t="str"/>
      <x:c r="K54" s="24" t="str">
        <x:v>Medium</x:v>
      </x:c>
      <x:c r="L54" s="24" t="str">
        <x:v>Pulled current specialty-coffee directory</x:v>
      </x:c>
      <x:c r="M54" s="24" t="str">
        <x:v>https://www.pulled.coffee/city/sidon/specialty</x:v>
      </x:c>
      <x:c r="N54" s="24" t="str">
        <x:v>https://www.google.com/maps/search/?api=1&amp;query=moussa+cafe%2C+Jibchit%2C+Lebanon</x:v>
      </x:c>
      <x:c r="O54" s="24" t="str"/>
      <x:c r="P54" s="24" t="str">
        <x:v>2026-09-07</x:v>
      </x:c>
    </x:row>
    <x:row r="55">
      <x:c r="A55" s="24" t="n">
        <x:v>54</x:v>
      </x:c>
      <x:c r="B55" s="24" t="str">
        <x:v>Kaakaiyet Al-Jisr</x:v>
      </x:c>
      <x:c r="C55" s="24" t="str">
        <x:v>ABU HASSAN COFFEE</x:v>
      </x:c>
      <x:c r="D55" s="24" t="str">
        <x:v>Coffee shop</x:v>
      </x:c>
      <x:c r="E55" s="24" t="str">
        <x:v>Listed current</x:v>
      </x:c>
      <x:c r="F55" s="24" t="str">
        <x:v>Qaaqaaiyet El Jisr</x:v>
      </x:c>
      <x:c r="G55" s="24" t="str"/>
      <x:c r="H55" s="44" t="n">
        <x:v>5</x:v>
      </x:c>
      <x:c r="I55" s="46"/>
      <x:c r="J55" s="24" t="str"/>
      <x:c r="K55" s="24" t="str">
        <x:v>Medium</x:v>
      </x:c>
      <x:c r="L55" s="24" t="str">
        <x:v>Pulled current shop page</x:v>
      </x:c>
      <x:c r="M55" s="24" t="str">
        <x:v>https://www.pulled.coffee/shop/abu-hassan-coffee-sidon</x:v>
      </x:c>
      <x:c r="N55" s="24" t="str">
        <x:v>https://www.google.com/maps/search/?api=1&amp;query=ABU+HASSAN+COFFEE%2C+Kaakaiyet+Al-Jisr%2C+Lebanon</x:v>
      </x:c>
      <x:c r="O55" s="24" t="str"/>
      <x:c r="P55" s="24" t="str">
        <x:v>2026-09-07</x:v>
      </x:c>
    </x:row>
    <x:row r="56">
      <x:c r="A56" s="24" t="n">
        <x:v>55</x:v>
      </x:c>
      <x:c r="B56" s="24" t="str">
        <x:v>Kaakaiyet Al-Jisr</x:v>
      </x:c>
      <x:c r="C56" s="24" t="str">
        <x:v>Janouby</x:v>
      </x:c>
      <x:c r="D56" s="24" t="str">
        <x:v>Coffee shop</x:v>
      </x:c>
      <x:c r="E56" s="24" t="str">
        <x:v>Listed current</x:v>
      </x:c>
      <x:c r="F56" s="24" t="str">
        <x:v>Qaaqaaiyet El Jisr</x:v>
      </x:c>
      <x:c r="G56" s="24" t="str"/>
      <x:c r="H56" s="44"/>
      <x:c r="I56" s="46"/>
      <x:c r="J56" s="24" t="str"/>
      <x:c r="K56" s="24" t="str">
        <x:v>Medium</x:v>
      </x:c>
      <x:c r="L56" s="24" t="str">
        <x:v>Pulled current specialty-coffee directory</x:v>
      </x:c>
      <x:c r="M56" s="24" t="str">
        <x:v>https://www.pulled.coffee/city/sidon/specialty</x:v>
      </x:c>
      <x:c r="N56" s="24" t="str">
        <x:v>https://www.google.com/maps/search/?api=1&amp;query=Janouby%2C+Kaakaiyet+Al-Jisr%2C+Lebanon</x:v>
      </x:c>
      <x:c r="O56" s="24" t="str"/>
      <x:c r="P56" s="24" t="str">
        <x:v>2026-09-07</x:v>
      </x:c>
    </x:row>
    <x:row r="57">
      <x:c r="A57" s="24" t="n">
        <x:v>56</x:v>
      </x:c>
      <x:c r="B57" s="24" t="str">
        <x:v>Kafr Roummane</x:v>
      </x:c>
      <x:c r="C57" s="24" t="str">
        <x:v>Boho coffeehouse</x:v>
      </x:c>
      <x:c r="D57" s="24" t="str">
        <x:v>Coffee shop</x:v>
      </x:c>
      <x:c r="E57" s="24" t="str">
        <x:v>Active - verified</x:v>
      </x:c>
      <x:c r="F57" s="24" t="str">
        <x:v>Jezzine–Nabatieh Road, Kfar Roummane</x:v>
      </x:c>
      <x:c r="G57" s="24" t="str">
        <x:v>+961 71 109 962</x:v>
      </x:c>
      <x:c r="H57" s="44" t="n">
        <x:v>5</x:v>
      </x:c>
      <x:c r="I57" s="46"/>
      <x:c r="J57" s="24" t="str">
        <x:v>12:00–01:00 daily</x:v>
      </x:c>
      <x:c r="K57" s="24" t="str">
        <x:v>High</x:v>
      </x:c>
      <x:c r="L57" s="24" t="str">
        <x:v>BizMidEast + local directories</x:v>
      </x:c>
      <x:c r="M57" s="24" t="str">
        <x:v>https://www.bizmideast.com/LB/boho-coffeehouse-71-109-962</x:v>
      </x:c>
      <x:c r="N57" s="24" t="str">
        <x:v>https://www.google.com/maps/search/?api=1&amp;query=Boho+coffeehouse%2C+Kafr+Roummane%2C+Lebanon</x:v>
      </x:c>
      <x:c r="O57" s="24" t="str"/>
      <x:c r="P57" s="24" t="str">
        <x:v>2026-09-07</x:v>
      </x:c>
    </x:row>
    <x:row r="58">
      <x:c r="A58" s="24" t="n">
        <x:v>57</x:v>
      </x:c>
      <x:c r="B58" s="24" t="str">
        <x:v>Kafr Roummane</x:v>
      </x:c>
      <x:c r="C58" s="24" t="str">
        <x:v>Phoenicia Cafe</x:v>
      </x:c>
      <x:c r="D58" s="24" t="str">
        <x:v>Cafe</x:v>
      </x:c>
      <x:c r="E58" s="24" t="str">
        <x:v>Active - verified</x:v>
      </x:c>
      <x:c r="F58" s="24" t="str">
        <x:v>33°23'54.2"N 35°31'13.0"E, Kafarrouman</x:v>
      </x:c>
      <x:c r="G58" s="24" t="str">
        <x:v>+961 3 038 829</x:v>
      </x:c>
      <x:c r="H58" s="44" t="n">
        <x:v>3.7</x:v>
      </x:c>
      <x:c r="I58" s="46" t="n">
        <x:v>3</x:v>
      </x:c>
      <x:c r="J58" s="24" t="str"/>
      <x:c r="K58" s="24" t="str">
        <x:v>High</x:v>
      </x:c>
      <x:c r="L58" s="24" t="str">
        <x:v>Current local-business listing</x:v>
      </x:c>
      <x:c r="M58" s="24" t="str"/>
      <x:c r="N58" s="24" t="str">
        <x:v>https://www.google.com/maps/search/?api=1&amp;query=Phoenicia+Cafe%2C+Kafr+Roummane%2C+Lebanon</x:v>
      </x:c>
      <x:c r="O58" s="24" t="str"/>
      <x:c r="P58" s="24" t="str">
        <x:v>2026-09-07</x:v>
      </x:c>
    </x:row>
    <x:row r="59">
      <x:c r="A59" s="24" t="n">
        <x:v>58</x:v>
      </x:c>
      <x:c r="B59" s="24" t="str">
        <x:v>Kafr Roummane</x:v>
      </x:c>
      <x:c r="C59" s="24" t="str">
        <x:v>كنافتي</x:v>
      </x:c>
      <x:c r="D59" s="24" t="str">
        <x:v>Dessert cafe</x:v>
      </x:c>
      <x:c r="E59" s="24" t="str">
        <x:v>Closed</x:v>
      </x:c>
      <x:c r="F59" s="24" t="str">
        <x:v>Kfar Roummane</x:v>
      </x:c>
      <x:c r="G59" s="24" t="str"/>
      <x:c r="H59" s="44"/>
      <x:c r="I59" s="46"/>
      <x:c r="J59" s="24" t="str"/>
      <x:c r="K59" s="24" t="str">
        <x:v>Medium</x:v>
      </x:c>
      <x:c r="L59" s="24" t="str">
        <x:v>Cybo historical listing</x:v>
      </x:c>
      <x:c r="M59" s="24" t="str">
        <x:v>https://www.cybo.com/LB/nabatieh/cafes/</x:v>
      </x:c>
      <x:c r="N59" s="24" t="str">
        <x:v>https://www.google.com/maps/search/?api=1&amp;query=%D9%83%D9%86%D8%A7%D9%81%D8%AA%D9%8A%2C+Kafr+Roummane%2C+Lebanon</x:v>
      </x:c>
      <x:c r="O59" s="24" t="str">
        <x:v>Directory marks this listing closed.</x:v>
      </x:c>
      <x:c r="P59" s="24" t="str">
        <x:v>2026-09-07</x:v>
      </x:c>
    </x:row>
    <x:row r="60">
      <x:c r="A60" s="24" t="n">
        <x:v>59</x:v>
      </x:c>
      <x:c r="B60" s="24" t="str">
        <x:v>Kafr Sir</x:v>
      </x:c>
      <x:c r="C60" s="24" t="str">
        <x:v>Mehdi Café</x:v>
      </x:c>
      <x:c r="D60" s="24" t="str">
        <x:v>Cafe</x:v>
      </x:c>
      <x:c r="E60" s="24" t="str">
        <x:v>Active - verified</x:v>
      </x:c>
      <x:c r="F60" s="24" t="str">
        <x:v>8CG2+8MJ, Kfar Sir</x:v>
      </x:c>
      <x:c r="G60" s="24" t="str"/>
      <x:c r="H60" s="44" t="n">
        <x:v>4.6</x:v>
      </x:c>
      <x:c r="I60" s="46" t="n">
        <x:v>9</x:v>
      </x:c>
      <x:c r="J60" s="24" t="str">
        <x:v>09:00–00:00 daily</x:v>
      </x:c>
      <x:c r="K60" s="24" t="str">
        <x:v>High</x:v>
      </x:c>
      <x:c r="L60" s="24" t="str">
        <x:v>Current local-business listing</x:v>
      </x:c>
      <x:c r="M60" s="24" t="str"/>
      <x:c r="N60" s="24" t="str">
        <x:v>https://www.google.com/maps/search/?api=1&amp;query=Mehdi+Caf%C3%A9%2C+Kafr+Sir%2C+Lebanon</x:v>
      </x:c>
      <x:c r="O60" s="24" t="str"/>
      <x:c r="P60" s="24" t="str">
        <x:v>2026-09-07</x:v>
      </x:c>
    </x:row>
    <x:row r="61">
      <x:c r="A61" s="24" t="n">
        <x:v>60</x:v>
      </x:c>
      <x:c r="B61" s="24" t="str">
        <x:v>Kafr Sir</x:v>
      </x:c>
      <x:c r="C61" s="24" t="str">
        <x:v>Café kifKen</x:v>
      </x:c>
      <x:c r="D61" s="24" t="str">
        <x:v>Cafe</x:v>
      </x:c>
      <x:c r="E61" s="24" t="str">
        <x:v>Active - verified</x:v>
      </x:c>
      <x:c r="F61" s="24" t="str">
        <x:v>89GX+VPH, Kfar Sir</x:v>
      </x:c>
      <x:c r="G61" s="24" t="str"/>
      <x:c r="H61" s="44" t="n">
        <x:v>3.7</x:v>
      </x:c>
      <x:c r="I61" s="46" t="n">
        <x:v>3</x:v>
      </x:c>
      <x:c r="J61" s="24" t="str">
        <x:v>Mostly 24 hours; Fri listing differs</x:v>
      </x:c>
      <x:c r="K61" s="24" t="str">
        <x:v>High</x:v>
      </x:c>
      <x:c r="L61" s="24" t="str">
        <x:v>Current local-business listing</x:v>
      </x:c>
      <x:c r="M61" s="24" t="str"/>
      <x:c r="N61" s="24" t="str">
        <x:v>https://www.google.com/maps/search/?api=1&amp;query=Caf%C3%A9+kifKen%2C+Kafr+Sir%2C+Lebanon</x:v>
      </x:c>
      <x:c r="O61" s="24" t="str"/>
      <x:c r="P61" s="24" t="str">
        <x:v>2026-09-07</x:v>
      </x:c>
    </x:row>
    <x:row r="62">
      <x:c r="A62" s="24" t="n">
        <x:v>61</x:v>
      </x:c>
      <x:c r="B62" s="24" t="str">
        <x:v>Kafr Sir</x:v>
      </x:c>
      <x:c r="C62" s="24" t="str">
        <x:v>Velvety</x:v>
      </x:c>
      <x:c r="D62" s="24" t="str">
        <x:v>Coffee shop</x:v>
      </x:c>
      <x:c r="E62" s="24" t="str">
        <x:v>Active - verified</x:v>
      </x:c>
      <x:c r="F62" s="24" t="str">
        <x:v>89GW+VW9, Kfar Sir</x:v>
      </x:c>
      <x:c r="G62" s="24" t="str">
        <x:v>+961 81 022 509</x:v>
      </x:c>
      <x:c r="H62" s="44" t="n">
        <x:v>4.2</x:v>
      </x:c>
      <x:c r="I62" s="46" t="n">
        <x:v>5</x:v>
      </x:c>
      <x:c r="J62" s="24" t="str"/>
      <x:c r="K62" s="24" t="str">
        <x:v>High</x:v>
      </x:c>
      <x:c r="L62" s="24" t="str">
        <x:v>Current local-business listing</x:v>
      </x:c>
      <x:c r="M62" s="24" t="str"/>
      <x:c r="N62" s="24" t="str">
        <x:v>https://www.google.com/maps/search/?api=1&amp;query=Velvety%2C+Kafr+Sir%2C+Lebanon</x:v>
      </x:c>
      <x:c r="O62" s="24" t="str"/>
      <x:c r="P62" s="24" t="str">
        <x:v>2026-09-07</x:v>
      </x:c>
    </x:row>
    <x:row r="63">
      <x:c r="A63" s="24" t="n">
        <x:v>62</x:v>
      </x:c>
      <x:c r="B63" s="24" t="str">
        <x:v>Kafr Sir</x:v>
      </x:c>
      <x:c r="C63" s="24" t="str">
        <x:v>إكسبرس ابو عيسى</x:v>
      </x:c>
      <x:c r="D63" s="24" t="str">
        <x:v>Coffee shop</x:v>
      </x:c>
      <x:c r="E63" s="24" t="str">
        <x:v>Active - verified</x:v>
      </x:c>
      <x:c r="F63" s="24" t="str">
        <x:v>8CG2+282, Kfar Sir</x:v>
      </x:c>
      <x:c r="G63" s="24" t="str"/>
      <x:c r="H63" s="44" t="n">
        <x:v>5</x:v>
      </x:c>
      <x:c r="I63" s="46" t="n">
        <x:v>1</x:v>
      </x:c>
      <x:c r="J63" s="24" t="str"/>
      <x:c r="K63" s="24" t="str">
        <x:v>High</x:v>
      </x:c>
      <x:c r="L63" s="24" t="str">
        <x:v>Current local-business listing</x:v>
      </x:c>
      <x:c r="M63" s="24" t="str"/>
      <x:c r="N63" s="24" t="str">
        <x:v>https://www.google.com/maps/search/?api=1&amp;query=%D8%A5%D9%83%D8%B3%D8%A8%D8%B1%D8%B3+%D8%A7%D8%A8%D9%88+%D8%B9%D9%8A%D8%B3%D9%89%2C+Kafr+Sir%2C+Lebanon</x:v>
      </x:c>
      <x:c r="O63" s="24" t="str"/>
      <x:c r="P63" s="24" t="str">
        <x:v>2026-09-07</x:v>
      </x:c>
    </x:row>
    <x:row r="64">
      <x:c r="A64" s="24" t="n">
        <x:v>63</x:v>
      </x:c>
      <x:c r="B64" s="24" t="str">
        <x:v>Kafr Sir</x:v>
      </x:c>
      <x:c r="C64" s="24" t="str">
        <x:v>Lava Cafe</x:v>
      </x:c>
      <x:c r="D64" s="24" t="str">
        <x:v>Coffee shop</x:v>
      </x:c>
      <x:c r="E64" s="24" t="str">
        <x:v>Active - verified</x:v>
      </x:c>
      <x:c r="F64" s="24" t="str">
        <x:v>8CJ4+37Q, Kfar Sir</x:v>
      </x:c>
      <x:c r="G64" s="24" t="str">
        <x:v>+961 70 057 596</x:v>
      </x:c>
      <x:c r="H64" s="44" t="n">
        <x:v>5</x:v>
      </x:c>
      <x:c r="I64" s="46" t="n">
        <x:v>2</x:v>
      </x:c>
      <x:c r="J64" s="24" t="str">
        <x:v>Usually 08:00–00:00</x:v>
      </x:c>
      <x:c r="K64" s="24" t="str">
        <x:v>High</x:v>
      </x:c>
      <x:c r="L64" s="24" t="str">
        <x:v>Current local-business listing</x:v>
      </x:c>
      <x:c r="M64" s="24" t="str"/>
      <x:c r="N64" s="24" t="str">
        <x:v>https://www.google.com/maps/search/?api=1&amp;query=Lava+Cafe%2C+Kafr+Sir%2C+Lebanon</x:v>
      </x:c>
      <x:c r="O64" s="24" t="str">
        <x:v>One weekday hour entry is inconsistent in the source.</x:v>
      </x:c>
      <x:c r="P64" s="24" t="str">
        <x:v>2026-09-07</x:v>
      </x:c>
    </x:row>
    <x:row r="65">
      <x:c r="A65" s="24" t="n">
        <x:v>64</x:v>
      </x:c>
      <x:c r="B65" s="24" t="str">
        <x:v>Al-Kfour</x:v>
      </x:c>
      <x:c r="C65" s="24" t="str">
        <x:v>Dreams Cafè</x:v>
      </x:c>
      <x:c r="D65" s="24" t="str">
        <x:v>Cafe</x:v>
      </x:c>
      <x:c r="E65" s="24" t="str">
        <x:v>Listed current</x:v>
      </x:c>
      <x:c r="F65" s="24" t="str">
        <x:v>Main Street, Kfour–Toul; map code 9FR6+C55</x:v>
      </x:c>
      <x:c r="G65" s="24" t="str">
        <x:v>+961 70 709 672</x:v>
      </x:c>
      <x:c r="H65" s="44" t="n">
        <x:v>4</x:v>
      </x:c>
      <x:c r="I65" s="46"/>
      <x:c r="J65" s="24" t="str">
        <x:v>09:00–01:00 daily</x:v>
      </x:c>
      <x:c r="K65" s="24" t="str">
        <x:v>Medium</x:v>
      </x:c>
      <x:c r="L65" s="24" t="str">
        <x:v>BizMidEast + WorldPlaces</x:v>
      </x:c>
      <x:c r="M65" s="24" t="str">
        <x:v>https://www.bizmideast.com/LB/dreams-caf%C3%A8-70-709-672</x:v>
      </x:c>
      <x:c r="N65" s="24" t="str">
        <x:v>https://www.google.com/maps/search/?api=1&amp;query=Dreams+Caf%C3%A8%2C+Al-Kfour%2C+Lebanon</x:v>
      </x:c>
      <x:c r="O65" s="24" t="str">
        <x:v>Address is explicitly Kfour–Toul; retained under Al-Kfour with boundary note.</x:v>
      </x:c>
      <x:c r="P65" s="24" t="str">
        <x:v>2026-09-07</x:v>
      </x:c>
    </x:row>
    <x:row r="66">
      <x:c r="A66" s="24" t="n">
        <x:v>65</x:v>
      </x:c>
      <x:c r="B66" s="24" t="str">
        <x:v>Al-Qsaybeh</x:v>
      </x:c>
      <x:c r="C66" s="24" t="str">
        <x:v>كافيه الساحة</x:v>
      </x:c>
      <x:c r="D66" s="24" t="str">
        <x:v>Coffee shop</x:v>
      </x:c>
      <x:c r="E66" s="24" t="str">
        <x:v>Active - verified</x:v>
      </x:c>
      <x:c r="F66" s="24" t="str">
        <x:v>89JW+QVC, Qsaybeh</x:v>
      </x:c>
      <x:c r="G66" s="24" t="str"/>
      <x:c r="H66" s="44" t="n">
        <x:v>5</x:v>
      </x:c>
      <x:c r="I66" s="46" t="n">
        <x:v>1</x:v>
      </x:c>
      <x:c r="J66" s="24" t="str"/>
      <x:c r="K66" s="24" t="str">
        <x:v>High</x:v>
      </x:c>
      <x:c r="L66" s="24" t="str">
        <x:v>Current local-business listing</x:v>
      </x:c>
      <x:c r="M66" s="24" t="str"/>
      <x:c r="N66" s="24" t="str">
        <x:v>https://www.google.com/maps/search/?api=1&amp;query=%D9%83%D8%A7%D9%81%D9%8A%D9%87+%D8%A7%D9%84%D8%B3%D8%A7%D8%AD%D8%A9%2C+Al-Qsaybeh%2C+Lebanon</x:v>
      </x:c>
      <x:c r="O66" s="24" t="str"/>
      <x:c r="P66" s="24" t="str">
        <x:v>2026-09-07</x:v>
      </x:c>
    </x:row>
    <x:row r="67">
      <x:c r="A67" s="24" t="n">
        <x:v>66</x:v>
      </x:c>
      <x:c r="B67" s="24" t="str">
        <x:v>Al-Qsaybeh</x:v>
      </x:c>
      <x:c r="C67" s="24" t="str">
        <x:v>مطعم منصور Mansour Restaurant</x:v>
      </x:c>
      <x:c r="D67" s="24" t="str">
        <x:v>Restaurant / coffee-related</x:v>
      </x:c>
      <x:c r="E67" s="24" t="str">
        <x:v>Needs verification</x:v>
      </x:c>
      <x:c r="F67" s="24" t="str">
        <x:v>Main road Qsaybeh–Braiqah</x:v>
      </x:c>
      <x:c r="G67" s="24" t="str"/>
      <x:c r="H67" s="44" t="n">
        <x:v>5</x:v>
      </x:c>
      <x:c r="I67" s="46"/>
      <x:c r="J67" s="24" t="str"/>
      <x:c r="K67" s="24" t="str">
        <x:v>Low</x:v>
      </x:c>
      <x:c r="L67" s="24" t="str">
        <x:v>Pulled specialty-coffee discovery</x:v>
      </x:c>
      <x:c r="M67" s="24" t="str">
        <x:v>https://www.pulled.coffee/city/sidon/specialty</x:v>
      </x:c>
      <x:c r="N67" s="24" t="str">
        <x:v>https://www.google.com/maps/search/?api=1&amp;query=%D9%85%D8%B7%D8%B9%D9%85+%D9%85%D9%86%D8%B5%D9%88%D8%B1+Mansour+Restaurant%2C+Al-Qsaybeh%2C+Lebanon</x:v>
      </x:c>
      <x:c r="O67" s="24" t="str">
        <x:v>Named as a restaurant; retained only as a coffee-related mixed-venue lead.</x:v>
      </x:c>
      <x:c r="P67" s="24" t="str">
        <x:v>2026-09-07</x:v>
      </x:c>
    </x:row>
    <x:row r="68">
      <x:c r="A68" s="24" t="n">
        <x:v>67</x:v>
      </x:c>
      <x:c r="B68" s="24" t="str">
        <x:v>Mayfadoun</x:v>
      </x:c>
      <x:c r="C68" s="24" t="str">
        <x:v>Costarica Coffee Shop</x:v>
      </x:c>
      <x:c r="D68" s="24" t="str">
        <x:v>Coffee shop</x:v>
      </x:c>
      <x:c r="E68" s="24" t="str">
        <x:v>Status conflict</x:v>
      </x:c>
      <x:c r="F68" s="24" t="str">
        <x:v>9F49+4M8, Maifadoun</x:v>
      </x:c>
      <x:c r="G68" s="24" t="str">
        <x:v>+961 76 832 061</x:v>
      </x:c>
      <x:c r="H68" s="44"/>
      <x:c r="I68" s="46"/>
      <x:c r="J68" s="24" t="str">
        <x:v>Historical hours 07:00–01:00 daily</x:v>
      </x:c>
      <x:c r="K68" s="24" t="str">
        <x:v>Medium</x:v>
      </x:c>
      <x:c r="L68" s="24" t="str">
        <x:v>BizMidEast active-style page + archival page marked closed</x:v>
      </x:c>
      <x:c r="M68" s="24" t="str">
        <x:v>https://www.bizmideast.com/LB/costarica-coffee-shop-76-832-061</x:v>
      </x:c>
      <x:c r="N68" s="24" t="str">
        <x:v>https://www.google.com/maps/search/?api=1&amp;query=Costarica+Coffee+Shop%2C+Mayfadoun%2C+Lebanon</x:v>
      </x:c>
      <x:c r="O68" s="24" t="str">
        <x:v>Conflicting public status; current in-person/map confirmation recommended.</x:v>
      </x:c>
      <x:c r="P68" s="24" t="str">
        <x:v>2026-09-07</x:v>
      </x:c>
    </x:row>
    <x:row r="69">
      <x:c r="A69" s="24" t="n">
        <x:v>68</x:v>
      </x:c>
      <x:c r="B69" s="24" t="str">
        <x:v>Nabatieh</x:v>
      </x:c>
      <x:c r="C69" s="24" t="str">
        <x:v>Mugs Coffee Shop</x:v>
      </x:c>
      <x:c r="D69" s="24" t="str">
        <x:v>Coffee shop</x:v>
      </x:c>
      <x:c r="E69" s="24" t="str">
        <x:v>Active - verified</x:v>
      </x:c>
      <x:c r="F69" s="24" t="str">
        <x:v>Main Street, Nabatieh</x:v>
      </x:c>
      <x:c r="G69" s="24" t="str">
        <x:v>+961 76 444 617</x:v>
      </x:c>
      <x:c r="H69" s="44" t="n">
        <x:v>4.8</x:v>
      </x:c>
      <x:c r="I69" s="46" t="n">
        <x:v>65</x:v>
      </x:c>
      <x:c r="J69" s="24" t="str"/>
      <x:c r="K69" s="24" t="str">
        <x:v>High</x:v>
      </x:c>
      <x:c r="L69" s="24" t="str">
        <x:v>Current local-business listing</x:v>
      </x:c>
      <x:c r="M69" s="24" t="str"/>
      <x:c r="N69" s="24" t="str">
        <x:v>https://www.google.com/maps/search/?api=1&amp;query=Mugs+Coffee+Shop%2C+Nabatieh%2C+Lebanon</x:v>
      </x:c>
      <x:c r="O69" s="24" t="str"/>
      <x:c r="P69" s="24" t="str">
        <x:v>2026-09-07</x:v>
      </x:c>
    </x:row>
    <x:row r="70">
      <x:c r="A70" s="24" t="n">
        <x:v>69</x:v>
      </x:c>
      <x:c r="B70" s="24" t="str">
        <x:v>Nabatieh</x:v>
      </x:c>
      <x:c r="C70" s="24" t="str">
        <x:v>Coffeeholic</x:v>
      </x:c>
      <x:c r="D70" s="24" t="str">
        <x:v>Coffee shop</x:v>
      </x:c>
      <x:c r="E70" s="24" t="str">
        <x:v>Active - verified</x:v>
      </x:c>
      <x:c r="F70" s="24" t="str">
        <x:v>9FJM+C6G / Al Sabbah Street, Nabatieh</x:v>
      </x:c>
      <x:c r="G70" s="24" t="str">
        <x:v>+961 81 660 849</x:v>
      </x:c>
      <x:c r="H70" s="44" t="n">
        <x:v>4.8</x:v>
      </x:c>
      <x:c r="I70" s="46" t="n">
        <x:v>16</x:v>
      </x:c>
      <x:c r="J70" s="24" t="str"/>
      <x:c r="K70" s="24" t="str">
        <x:v>High</x:v>
      </x:c>
      <x:c r="L70" s="24" t="str">
        <x:v>Current local-business listing + Beirut.com</x:v>
      </x:c>
      <x:c r="M70" s="24" t="str">
        <x:v>https://www.beirut.com/en/749652/coffeeholic-finally-reopened-in-nabatieh/</x:v>
      </x:c>
      <x:c r="N70" s="24" t="str">
        <x:v>https://www.google.com/maps/search/?api=1&amp;query=Coffeeholic%2C+Nabatieh%2C+Lebanon</x:v>
      </x:c>
      <x:c r="O70" s="24" t="str"/>
      <x:c r="P70" s="24" t="str">
        <x:v>2026-09-07</x:v>
      </x:c>
    </x:row>
    <x:row r="71">
      <x:c r="A71" s="24" t="n">
        <x:v>70</x:v>
      </x:c>
      <x:c r="B71" s="24" t="str">
        <x:v>Nabatieh</x:v>
      </x:c>
      <x:c r="C71" s="24" t="str">
        <x:v>Vibes</x:v>
      </x:c>
      <x:c r="D71" s="24" t="str">
        <x:v>Coffee shop</x:v>
      </x:c>
      <x:c r="E71" s="24" t="str">
        <x:v>Active - verified</x:v>
      </x:c>
      <x:c r="F71" s="24" t="str">
        <x:v>9FQP+6VM, Nabatieh</x:v>
      </x:c>
      <x:c r="G71" s="24" t="str">
        <x:v>+961 70 088 595</x:v>
      </x:c>
      <x:c r="H71" s="44" t="n">
        <x:v>4.7</x:v>
      </x:c>
      <x:c r="I71" s="46" t="n">
        <x:v>22</x:v>
      </x:c>
      <x:c r="J71" s="24" t="str">
        <x:v>16:00–02:00 daily</x:v>
      </x:c>
      <x:c r="K71" s="24" t="str">
        <x:v>High</x:v>
      </x:c>
      <x:c r="L71" s="24" t="str">
        <x:v>Current local-business listing</x:v>
      </x:c>
      <x:c r="M71" s="24" t="str"/>
      <x:c r="N71" s="24" t="str">
        <x:v>https://www.google.com/maps/search/?api=1&amp;query=Vibes%2C+Nabatieh%2C+Lebanon</x:v>
      </x:c>
      <x:c r="O71" s="24" t="str"/>
      <x:c r="P71" s="24" t="str">
        <x:v>2026-09-07</x:v>
      </x:c>
    </x:row>
    <x:row r="72">
      <x:c r="A72" s="24" t="n">
        <x:v>71</x:v>
      </x:c>
      <x:c r="B72" s="24" t="str">
        <x:v>Nabatieh</x:v>
      </x:c>
      <x:c r="C72" s="24" t="str">
        <x:v>Scout Coffee Shop</x:v>
      </x:c>
      <x:c r="D72" s="24" t="str">
        <x:v>Coffee shop</x:v>
      </x:c>
      <x:c r="E72" s="24" t="str">
        <x:v>Active - verified</x:v>
      </x:c>
      <x:c r="F72" s="24" t="str">
        <x:v>9FGH+WH7, Nabatiyeh–Tyre Road</x:v>
      </x:c>
      <x:c r="G72" s="24" t="str">
        <x:v>+961 76 087 141</x:v>
      </x:c>
      <x:c r="H72" s="44" t="n">
        <x:v>5</x:v>
      </x:c>
      <x:c r="I72" s="46" t="n">
        <x:v>1</x:v>
      </x:c>
      <x:c r="J72" s="24" t="str">
        <x:v>07:00–00:00 daily</x:v>
      </x:c>
      <x:c r="K72" s="24" t="str">
        <x:v>High</x:v>
      </x:c>
      <x:c r="L72" s="24" t="str">
        <x:v>Current local-business listing</x:v>
      </x:c>
      <x:c r="M72" s="24" t="str"/>
      <x:c r="N72" s="24" t="str">
        <x:v>https://www.google.com/maps/search/?api=1&amp;query=Scout+Coffee+Shop%2C+Nabatieh%2C+Lebanon</x:v>
      </x:c>
      <x:c r="O72" s="24" t="str"/>
      <x:c r="P72" s="24" t="str">
        <x:v>2026-09-07</x:v>
      </x:c>
    </x:row>
    <x:row r="73">
      <x:c r="A73" s="24" t="n">
        <x:v>72</x:v>
      </x:c>
      <x:c r="B73" s="24" t="str">
        <x:v>Nabatieh</x:v>
      </x:c>
      <x:c r="C73" s="24" t="str">
        <x:v>CHANCE COFFEE SHOP</x:v>
      </x:c>
      <x:c r="D73" s="24" t="str">
        <x:v>Coffee shop</x:v>
      </x:c>
      <x:c r="E73" s="24" t="str">
        <x:v>Active - verified</x:v>
      </x:c>
      <x:c r="F73" s="24" t="str">
        <x:v>Nabatieh</x:v>
      </x:c>
      <x:c r="G73" s="24" t="str">
        <x:v>+961 81 645 310</x:v>
      </x:c>
      <x:c r="H73" s="44"/>
      <x:c r="I73" s="46"/>
      <x:c r="J73" s="24" t="str">
        <x:v>07:00–23:00 daily</x:v>
      </x:c>
      <x:c r="K73" s="24" t="str">
        <x:v>High</x:v>
      </x:c>
      <x:c r="L73" s="24" t="str">
        <x:v>Current local-business listing</x:v>
      </x:c>
      <x:c r="M73" s="24" t="str"/>
      <x:c r="N73" s="24" t="str">
        <x:v>https://www.google.com/maps/search/?api=1&amp;query=CHANCE+COFFEE+SHOP%2C+Nabatieh%2C+Lebanon</x:v>
      </x:c>
      <x:c r="O73" s="24" t="str"/>
      <x:c r="P73" s="24" t="str">
        <x:v>2026-09-07</x:v>
      </x:c>
    </x:row>
    <x:row r="74">
      <x:c r="A74" s="24" t="n">
        <x:v>73</x:v>
      </x:c>
      <x:c r="B74" s="24" t="str">
        <x:v>Nabatieh</x:v>
      </x:c>
      <x:c r="C74" s="24" t="str">
        <x:v>Café d'or</x:v>
      </x:c>
      <x:c r="D74" s="24" t="str">
        <x:v>Cafe</x:v>
      </x:c>
      <x:c r="E74" s="24" t="str">
        <x:v>Needs verification</x:v>
      </x:c>
      <x:c r="F74" s="24" t="str">
        <x:v>9FHJ+QM4, Nabatieh</x:v>
      </x:c>
      <x:c r="G74" s="24" t="str"/>
      <x:c r="H74" s="44" t="n">
        <x:v>4.1</x:v>
      </x:c>
      <x:c r="I74" s="46" t="n">
        <x:v>92</x:v>
      </x:c>
      <x:c r="J74" s="24" t="str">
        <x:v>08:00–00:00</x:v>
      </x:c>
      <x:c r="K74" s="24" t="str">
        <x:v>Medium</x:v>
      </x:c>
      <x:c r="L74" s="24" t="str">
        <x:v>Earlier current local-business + local directory discovery</x:v>
      </x:c>
      <x:c r="M74" s="24" t="str"/>
      <x:c r="N74" s="24" t="str">
        <x:v>https://www.google.com/maps/search/?api=1&amp;query=Caf%C3%A9+d%27or%2C+Nabatieh%2C+Lebanon</x:v>
      </x:c>
      <x:c r="O74" s="24" t="str">
        <x:v>Phone conflicts across public sources; verify before outreach.</x:v>
      </x:c>
      <x:c r="P74" s="24" t="str">
        <x:v>2026-09-07</x:v>
      </x:c>
    </x:row>
    <x:row r="75">
      <x:c r="A75" s="24" t="n">
        <x:v>74</x:v>
      </x:c>
      <x:c r="B75" s="24" t="str">
        <x:v>Nabatieh</x:v>
      </x:c>
      <x:c r="C75" s="24" t="str">
        <x:v>Ghazal Cafe / Ghazal36</x:v>
      </x:c>
      <x:c r="D75" s="24" t="str">
        <x:v>Cafe</x:v>
      </x:c>
      <x:c r="E75" s="24" t="str">
        <x:v>Active - verified</x:v>
      </x:c>
      <x:c r="F75" s="24" t="str">
        <x:v>9FHP+X59, Nabatieh</x:v>
      </x:c>
      <x:c r="G75" s="24" t="str">
        <x:v>+961 70 664 266</x:v>
      </x:c>
      <x:c r="H75" s="44" t="n">
        <x:v>4.3</x:v>
      </x:c>
      <x:c r="I75" s="46" t="n">
        <x:v>24</x:v>
      </x:c>
      <x:c r="J75" s="24" t="str">
        <x:v>08:00–19:00 daily</x:v>
      </x:c>
      <x:c r="K75" s="24" t="str">
        <x:v>High</x:v>
      </x:c>
      <x:c r="L75" s="24" t="str">
        <x:v>Current local-business listing + duplicate-name reconciliation</x:v>
      </x:c>
      <x:c r="M75" s="24" t="str"/>
      <x:c r="N75" s="24" t="str">
        <x:v>https://www.google.com/maps/search/?api=1&amp;query=Ghazal+Cafe+%2F+Ghazal36%2C+Nabatieh%2C+Lebanon</x:v>
      </x:c>
      <x:c r="O75" s="24" t="str">
        <x:v>Ghazal36 shares the same phone; merged.</x:v>
      </x:c>
      <x:c r="P75" s="24" t="str">
        <x:v>2026-09-07</x:v>
      </x:c>
    </x:row>
    <x:row r="76">
      <x:c r="A76" s="24" t="n">
        <x:v>75</x:v>
      </x:c>
      <x:c r="B76" s="24" t="str">
        <x:v>Nabatieh</x:v>
      </x:c>
      <x:c r="C76" s="24" t="str">
        <x:v>Leylandii caffee</x:v>
      </x:c>
      <x:c r="D76" s="24" t="str">
        <x:v>Coffee shop</x:v>
      </x:c>
      <x:c r="E76" s="24" t="str">
        <x:v>Active - verified</x:v>
      </x:c>
      <x:c r="F76" s="24" t="str">
        <x:v>9FJM+HF3, Nabatieh</x:v>
      </x:c>
      <x:c r="G76" s="24" t="str">
        <x:v>+961 76 855 544</x:v>
      </x:c>
      <x:c r="H76" s="44" t="n">
        <x:v>4</x:v>
      </x:c>
      <x:c r="I76" s="46" t="n">
        <x:v>60</x:v>
      </x:c>
      <x:c r="J76" s="24" t="str"/>
      <x:c r="K76" s="24" t="str">
        <x:v>High</x:v>
      </x:c>
      <x:c r="L76" s="24" t="str">
        <x:v>Current local-business listing</x:v>
      </x:c>
      <x:c r="M76" s="24" t="str"/>
      <x:c r="N76" s="24" t="str">
        <x:v>https://www.google.com/maps/search/?api=1&amp;query=Leylandii+caffee%2C+Nabatieh%2C+Lebanon</x:v>
      </x:c>
      <x:c r="O76" s="24" t="str"/>
      <x:c r="P76" s="24" t="str">
        <x:v>2026-09-07</x:v>
      </x:c>
    </x:row>
    <x:row r="77">
      <x:c r="A77" s="24" t="n">
        <x:v>76</x:v>
      </x:c>
      <x:c r="B77" s="24" t="str">
        <x:v>Nabatieh</x:v>
      </x:c>
      <x:c r="C77" s="24" t="str">
        <x:v>Latte Coffee Shop</x:v>
      </x:c>
      <x:c r="D77" s="24" t="str">
        <x:v>Coffee shop</x:v>
      </x:c>
      <x:c r="E77" s="24" t="str">
        <x:v>Active - verified</x:v>
      </x:c>
      <x:c r="F77" s="24" t="str">
        <x:v>9FQV+XJV, Nabatieh</x:v>
      </x:c>
      <x:c r="G77" s="24" t="str">
        <x:v>+961 71 418 947</x:v>
      </x:c>
      <x:c r="H77" s="44" t="n">
        <x:v>5</x:v>
      </x:c>
      <x:c r="I77" s="46" t="n">
        <x:v>4</x:v>
      </x:c>
      <x:c r="J77" s="24" t="str">
        <x:v>08:00–23:00 daily</x:v>
      </x:c>
      <x:c r="K77" s="24" t="str">
        <x:v>High</x:v>
      </x:c>
      <x:c r="L77" s="24" t="str">
        <x:v>Earlier current local-business listing</x:v>
      </x:c>
      <x:c r="M77" s="24" t="str"/>
      <x:c r="N77" s="24" t="str">
        <x:v>https://www.google.com/maps/search/?api=1&amp;query=Latte+Coffee+Shop%2C+Nabatieh%2C+Lebanon</x:v>
      </x:c>
      <x:c r="O77" s="24" t="str"/>
      <x:c r="P77" s="24" t="str">
        <x:v>2026-09-07</x:v>
      </x:c>
    </x:row>
    <x:row r="78">
      <x:c r="A78" s="24" t="n">
        <x:v>77</x:v>
      </x:c>
      <x:c r="B78" s="24" t="str">
        <x:v>Nabatieh</x:v>
      </x:c>
      <x:c r="C78" s="24" t="str">
        <x:v>Cafe Abou Hassan</x:v>
      </x:c>
      <x:c r="D78" s="24" t="str">
        <x:v>Coffee shop</x:v>
      </x:c>
      <x:c r="E78" s="24" t="str">
        <x:v>Active - verified</x:v>
      </x:c>
      <x:c r="F78" s="24" t="str">
        <x:v>9FHM+V98, Nabatieh</x:v>
      </x:c>
      <x:c r="G78" s="24" t="str">
        <x:v>+961 70 720 724</x:v>
      </x:c>
      <x:c r="H78" s="44" t="n">
        <x:v>4.2</x:v>
      </x:c>
      <x:c r="I78" s="46" t="n">
        <x:v>37</x:v>
      </x:c>
      <x:c r="J78" s="24" t="str">
        <x:v>07:00–00:00 daily</x:v>
      </x:c>
      <x:c r="K78" s="24" t="str">
        <x:v>High</x:v>
      </x:c>
      <x:c r="L78" s="24" t="str">
        <x:v>Current local-business listing</x:v>
      </x:c>
      <x:c r="M78" s="24" t="str"/>
      <x:c r="N78" s="24" t="str">
        <x:v>https://www.google.com/maps/search/?api=1&amp;query=Cafe+Abou+Hassan%2C+Nabatieh%2C+Lebanon</x:v>
      </x:c>
      <x:c r="O78" s="24" t="str"/>
      <x:c r="P78" s="24" t="str">
        <x:v>2026-09-07</x:v>
      </x:c>
    </x:row>
    <x:row r="79">
      <x:c r="A79" s="24" t="n">
        <x:v>78</x:v>
      </x:c>
      <x:c r="B79" s="24" t="str">
        <x:v>Nabatieh</x:v>
      </x:c>
      <x:c r="C79" s="24" t="str">
        <x:v>Crepenos</x:v>
      </x:c>
      <x:c r="D79" s="24" t="str">
        <x:v>Cafe / dessert</x:v>
      </x:c>
      <x:c r="E79" s="24" t="str">
        <x:v>Active - verified</x:v>
      </x:c>
      <x:c r="F79" s="24" t="str">
        <x:v>9FGP+F96, Nabatieh</x:v>
      </x:c>
      <x:c r="G79" s="24" t="str">
        <x:v>+961 70 254 869</x:v>
      </x:c>
      <x:c r="H79" s="44" t="n">
        <x:v>4.7</x:v>
      </x:c>
      <x:c r="I79" s="46" t="n">
        <x:v>10</x:v>
      </x:c>
      <x:c r="J79" s="24" t="str">
        <x:v>Mostly 12:00–00:00</x:v>
      </x:c>
      <x:c r="K79" s="24" t="str">
        <x:v>High</x:v>
      </x:c>
      <x:c r="L79" s="24" t="str">
        <x:v>Earlier current local-business listing</x:v>
      </x:c>
      <x:c r="M79" s="24" t="str"/>
      <x:c r="N79" s="24" t="str">
        <x:v>https://www.google.com/maps/search/?api=1&amp;query=Crepenos%2C+Nabatieh%2C+Lebanon</x:v>
      </x:c>
      <x:c r="O79" s="24" t="str"/>
      <x:c r="P79" s="24" t="str">
        <x:v>2026-09-07</x:v>
      </x:c>
    </x:row>
    <x:row r="80">
      <x:c r="A80" s="24" t="n">
        <x:v>79</x:v>
      </x:c>
      <x:c r="B80" s="24" t="str">
        <x:v>Nabatieh</x:v>
      </x:c>
      <x:c r="C80" s="24" t="str">
        <x:v>Blue Coffee Shop</x:v>
      </x:c>
      <x:c r="D80" s="24" t="str">
        <x:v>Coffee shop</x:v>
      </x:c>
      <x:c r="E80" s="24" t="str">
        <x:v>Active - verified</x:v>
      </x:c>
      <x:c r="F80" s="24" t="str">
        <x:v>9FGW+GJP, Hay El Jameaat, Nabatieh</x:v>
      </x:c>
      <x:c r="G80" s="24" t="str"/>
      <x:c r="H80" s="44" t="n">
        <x:v>5</x:v>
      </x:c>
      <x:c r="I80" s="46" t="n">
        <x:v>1</x:v>
      </x:c>
      <x:c r="J80" s="24" t="str"/>
      <x:c r="K80" s="24" t="str">
        <x:v>High</x:v>
      </x:c>
      <x:c r="L80" s="24" t="str">
        <x:v>Current local-business listing</x:v>
      </x:c>
      <x:c r="M80" s="24" t="str"/>
      <x:c r="N80" s="24" t="str">
        <x:v>https://www.google.com/maps/search/?api=1&amp;query=Blue+Coffee+Shop%2C+Nabatieh%2C+Lebanon</x:v>
      </x:c>
      <x:c r="O80" s="24" t="str"/>
      <x:c r="P80" s="24" t="str">
        <x:v>2026-09-07</x:v>
      </x:c>
    </x:row>
    <x:row r="81">
      <x:c r="A81" s="24" t="n">
        <x:v>80</x:v>
      </x:c>
      <x:c r="B81" s="24" t="str">
        <x:v>Nabatieh</x:v>
      </x:c>
      <x:c r="C81" s="24" t="str">
        <x:v>Warde Cafe</x:v>
      </x:c>
      <x:c r="D81" s="24" t="str">
        <x:v>Coffee shop</x:v>
      </x:c>
      <x:c r="E81" s="24" t="str">
        <x:v>Active - verified</x:v>
      </x:c>
      <x:c r="F81" s="24" t="str">
        <x:v>9FHW+3FF, University Street, Nabatieh</x:v>
      </x:c>
      <x:c r="G81" s="24" t="str"/>
      <x:c r="H81" s="44" t="n">
        <x:v>5</x:v>
      </x:c>
      <x:c r="I81" s="46" t="n">
        <x:v>2</x:v>
      </x:c>
      <x:c r="J81" s="24" t="str">
        <x:v>Mon–Fri 07:00–16:00</x:v>
      </x:c>
      <x:c r="K81" s="24" t="str">
        <x:v>High</x:v>
      </x:c>
      <x:c r="L81" s="24" t="str">
        <x:v>Current local-business listing</x:v>
      </x:c>
      <x:c r="M81" s="24" t="str"/>
      <x:c r="N81" s="24" t="str">
        <x:v>https://www.google.com/maps/search/?api=1&amp;query=Warde+Cafe%2C+Nabatieh%2C+Lebanon</x:v>
      </x:c>
      <x:c r="O81" s="24" t="str"/>
      <x:c r="P81" s="24" t="str">
        <x:v>2026-09-07</x:v>
      </x:c>
    </x:row>
    <x:row r="82">
      <x:c r="A82" s="24" t="n">
        <x:v>81</x:v>
      </x:c>
      <x:c r="B82" s="24" t="str">
        <x:v>Nabatieh</x:v>
      </x:c>
      <x:c r="C82" s="24" t="str">
        <x:v>Station Resto-Cafe - Nabatiye</x:v>
      </x:c>
      <x:c r="D82" s="24" t="str">
        <x:v>Resto-cafe</x:v>
      </x:c>
      <x:c r="E82" s="24" t="str">
        <x:v>Active - verified</x:v>
      </x:c>
      <x:c r="F82" s="24" t="str">
        <x:v>9FPM+6J5, Nabatieh</x:v>
      </x:c>
      <x:c r="G82" s="24" t="str">
        <x:v>+961 7 763 263</x:v>
      </x:c>
      <x:c r="H82" s="44" t="n">
        <x:v>4</x:v>
      </x:c>
      <x:c r="I82" s="46" t="n">
        <x:v>150</x:v>
      </x:c>
      <x:c r="J82" s="24" t="str">
        <x:v>08:00–00:00 daily</x:v>
      </x:c>
      <x:c r="K82" s="24" t="str">
        <x:v>High</x:v>
      </x:c>
      <x:c r="L82" s="24" t="str">
        <x:v>Current local-business listing</x:v>
      </x:c>
      <x:c r="M82" s="24" t="str"/>
      <x:c r="N82" s="24" t="str">
        <x:v>https://www.google.com/maps/search/?api=1&amp;query=Station+Resto-Cafe+-+Nabatiye%2C+Nabatieh%2C+Lebanon</x:v>
      </x:c>
      <x:c r="O82" s="24" t="str"/>
      <x:c r="P82" s="24" t="str">
        <x:v>2026-09-07</x:v>
      </x:c>
    </x:row>
    <x:row r="83">
      <x:c r="A83" s="24" t="n">
        <x:v>82</x:v>
      </x:c>
      <x:c r="B83" s="24" t="str">
        <x:v>Nabatieh</x:v>
      </x:c>
      <x:c r="C83" s="24" t="str">
        <x:v>Café Al Habib</x:v>
      </x:c>
      <x:c r="D83" s="24" t="str">
        <x:v>Cafe</x:v>
      </x:c>
      <x:c r="E83" s="24" t="str">
        <x:v>Active - verified</x:v>
      </x:c>
      <x:c r="F83" s="24" t="str">
        <x:v>9FJJ+PFQ, Nabatieh</x:v>
      </x:c>
      <x:c r="G83" s="24" t="str">
        <x:v>+961 7 769 788</x:v>
      </x:c>
      <x:c r="H83" s="44" t="n">
        <x:v>4.4</x:v>
      </x:c>
      <x:c r="I83" s="46" t="n">
        <x:v>11</x:v>
      </x:c>
      <x:c r="J83" s="24" t="str">
        <x:v>Open 24 hours</x:v>
      </x:c>
      <x:c r="K83" s="24" t="str">
        <x:v>High</x:v>
      </x:c>
      <x:c r="L83" s="24" t="str">
        <x:v>Current local-business listing</x:v>
      </x:c>
      <x:c r="M83" s="24" t="str"/>
      <x:c r="N83" s="24" t="str">
        <x:v>https://www.google.com/maps/search/?api=1&amp;query=Caf%C3%A9+Al+Habib%2C+Nabatieh%2C+Lebanon</x:v>
      </x:c>
      <x:c r="O83" s="24" t="str"/>
      <x:c r="P83" s="24" t="str">
        <x:v>2026-09-07</x:v>
      </x:c>
    </x:row>
    <x:row r="84">
      <x:c r="A84" s="24" t="n">
        <x:v>83</x:v>
      </x:c>
      <x:c r="B84" s="24" t="str">
        <x:v>Nabatieh</x:v>
      </x:c>
      <x:c r="C84" s="24" t="str">
        <x:v>Amir coffee shop</x:v>
      </x:c>
      <x:c r="D84" s="24" t="str">
        <x:v>Coffee shop</x:v>
      </x:c>
      <x:c r="E84" s="24" t="str">
        <x:v>Active - verified</x:v>
      </x:c>
      <x:c r="F84" s="24" t="str">
        <x:v>9FHM+843, Nabatieh</x:v>
      </x:c>
      <x:c r="G84" s="24" t="str"/>
      <x:c r="H84" s="44" t="n">
        <x:v>5</x:v>
      </x:c>
      <x:c r="I84" s="46" t="n">
        <x:v>1</x:v>
      </x:c>
      <x:c r="J84" s="24" t="str"/>
      <x:c r="K84" s="24" t="str">
        <x:v>High</x:v>
      </x:c>
      <x:c r="L84" s="24" t="str">
        <x:v>Current local-business listing</x:v>
      </x:c>
      <x:c r="M84" s="24" t="str"/>
      <x:c r="N84" s="24" t="str">
        <x:v>https://www.google.com/maps/search/?api=1&amp;query=Amir+coffee+shop%2C+Nabatieh%2C+Lebanon</x:v>
      </x:c>
      <x:c r="O84" s="24" t="str"/>
      <x:c r="P84" s="24" t="str">
        <x:v>2026-09-07</x:v>
      </x:c>
    </x:row>
    <x:row r="85">
      <x:c r="A85" s="24" t="n">
        <x:v>84</x:v>
      </x:c>
      <x:c r="B85" s="24" t="str">
        <x:v>Nabatieh</x:v>
      </x:c>
      <x:c r="C85" s="24" t="str">
        <x:v>Glasius – House of Gelato</x:v>
      </x:c>
      <x:c r="D85" s="24" t="str">
        <x:v>Coffee shop / gelato</x:v>
      </x:c>
      <x:c r="E85" s="24" t="str">
        <x:v>Active - verified</x:v>
      </x:c>
      <x:c r="F85" s="24" t="str">
        <x:v>9FQV+54, Nabatieh</x:v>
      </x:c>
      <x:c r="G85" s="24" t="str">
        <x:v>+961 7 764 004</x:v>
      </x:c>
      <x:c r="H85" s="44" t="n">
        <x:v>4.6</x:v>
      </x:c>
      <x:c r="I85" s="46" t="n">
        <x:v>54</x:v>
      </x:c>
      <x:c r="J85" s="24" t="str">
        <x:v>08:00–00:00 daily</x:v>
      </x:c>
      <x:c r="K85" s="24" t="str">
        <x:v>High</x:v>
      </x:c>
      <x:c r="L85" s="24" t="str">
        <x:v>Current local-business listing</x:v>
      </x:c>
      <x:c r="M85" s="24" t="str"/>
      <x:c r="N85" s="24" t="str">
        <x:v>https://www.google.com/maps/search/?api=1&amp;query=Glasius+%E2%80%93+House+of+Gelato%2C+Nabatieh%2C+Lebanon</x:v>
      </x:c>
      <x:c r="O85" s="24" t="str"/>
      <x:c r="P85" s="24" t="str">
        <x:v>2026-09-07</x:v>
      </x:c>
    </x:row>
    <x:row r="86">
      <x:c r="A86" s="24" t="n">
        <x:v>85</x:v>
      </x:c>
      <x:c r="B86" s="24" t="str">
        <x:v>Nabatieh</x:v>
      </x:c>
      <x:c r="C86" s="24" t="str">
        <x:v>Caffe Dahnoun</x:v>
      </x:c>
      <x:c r="D86" s="24" t="str">
        <x:v>Cafe</x:v>
      </x:c>
      <x:c r="E86" s="24" t="str">
        <x:v>Active - verified</x:v>
      </x:c>
      <x:c r="F86" s="24" t="str">
        <x:v>9FJJ+GR3, Nabatieh</x:v>
      </x:c>
      <x:c r="G86" s="24" t="str">
        <x:v>+961 76 807 167</x:v>
      </x:c>
      <x:c r="H86" s="44" t="n">
        <x:v>5</x:v>
      </x:c>
      <x:c r="I86" s="46" t="n">
        <x:v>1</x:v>
      </x:c>
      <x:c r="J86" s="24" t="str">
        <x:v>07:00–13:00 daily</x:v>
      </x:c>
      <x:c r="K86" s="24" t="str">
        <x:v>High</x:v>
      </x:c>
      <x:c r="L86" s="24" t="str">
        <x:v>Current local-business listing</x:v>
      </x:c>
      <x:c r="M86" s="24" t="str"/>
      <x:c r="N86" s="24" t="str">
        <x:v>https://www.google.com/maps/search/?api=1&amp;query=Caffe+Dahnoun%2C+Nabatieh%2C+Lebanon</x:v>
      </x:c>
      <x:c r="O86" s="24" t="str"/>
      <x:c r="P86" s="24" t="str">
        <x:v>2026-09-07</x:v>
      </x:c>
    </x:row>
    <x:row r="87">
      <x:c r="A87" s="24" t="n">
        <x:v>86</x:v>
      </x:c>
      <x:c r="B87" s="24" t="str">
        <x:v>Nabatieh</x:v>
      </x:c>
      <x:c r="C87" s="24" t="str">
        <x:v>Moonlit</x:v>
      </x:c>
      <x:c r="D87" s="24" t="str">
        <x:v>Cafe</x:v>
      </x:c>
      <x:c r="E87" s="24" t="str">
        <x:v>Active - verified</x:v>
      </x:c>
      <x:c r="F87" s="24" t="str">
        <x:v>9FMJ+3M4, Nabatieh</x:v>
      </x:c>
      <x:c r="G87" s="24" t="str">
        <x:v>+961 81 677 626</x:v>
      </x:c>
      <x:c r="H87" s="44" t="n">
        <x:v>4.8</x:v>
      </x:c>
      <x:c r="I87" s="46" t="n">
        <x:v>5</x:v>
      </x:c>
      <x:c r="J87" s="24" t="str">
        <x:v>08:00–23:30 daily</x:v>
      </x:c>
      <x:c r="K87" s="24" t="str">
        <x:v>High</x:v>
      </x:c>
      <x:c r="L87" s="24" t="str">
        <x:v>Current local-business listing + WenRayhin</x:v>
      </x:c>
      <x:c r="M87" s="24" t="str">
        <x:v>https://wenrayhin.com/en/places/moonlit-nabatieh</x:v>
      </x:c>
      <x:c r="N87" s="24" t="str">
        <x:v>https://www.google.com/maps/search/?api=1&amp;query=Moonlit%2C+Nabatieh%2C+Lebanon</x:v>
      </x:c>
      <x:c r="O87" s="24" t="str"/>
      <x:c r="P87" s="24" t="str">
        <x:v>2026-09-07</x:v>
      </x:c>
    </x:row>
    <x:row r="88">
      <x:c r="A88" s="24" t="n">
        <x:v>87</x:v>
      </x:c>
      <x:c r="B88" s="24" t="str">
        <x:v>Nabatieh</x:v>
      </x:c>
      <x:c r="C88" s="24" t="str">
        <x:v>Qahwa</x:v>
      </x:c>
      <x:c r="D88" s="24" t="str">
        <x:v>Cafe</x:v>
      </x:c>
      <x:c r="E88" s="24" t="str">
        <x:v>Active - verified</x:v>
      </x:c>
      <x:c r="F88" s="24" t="str">
        <x:v>9FGP+9HF, Nabatieh–Marjayoun Road</x:v>
      </x:c>
      <x:c r="G88" s="24" t="str">
        <x:v>+961 71 043 424</x:v>
      </x:c>
      <x:c r="H88" s="44" t="n">
        <x:v>5</x:v>
      </x:c>
      <x:c r="I88" s="46" t="n">
        <x:v>3</x:v>
      </x:c>
      <x:c r="J88" s="24" t="str"/>
      <x:c r="K88" s="24" t="str">
        <x:v>High</x:v>
      </x:c>
      <x:c r="L88" s="24" t="str">
        <x:v>Current local-business listing</x:v>
      </x:c>
      <x:c r="M88" s="24" t="str"/>
      <x:c r="N88" s="24" t="str">
        <x:v>https://www.google.com/maps/search/?api=1&amp;query=Qahwa%2C+Nabatieh%2C+Lebanon</x:v>
      </x:c>
      <x:c r="O88" s="24" t="str"/>
      <x:c r="P88" s="24" t="str">
        <x:v>2026-09-07</x:v>
      </x:c>
    </x:row>
    <x:row r="89">
      <x:c r="A89" s="24" t="n">
        <x:v>88</x:v>
      </x:c>
      <x:c r="B89" s="24" t="str">
        <x:v>Nabatieh</x:v>
      </x:c>
      <x:c r="C89" s="24" t="str">
        <x:v>Stormy resto cafe</x:v>
      </x:c>
      <x:c r="D89" s="24" t="str">
        <x:v>Resto-cafe</x:v>
      </x:c>
      <x:c r="E89" s="24" t="str">
        <x:v>Active - verified</x:v>
      </x:c>
      <x:c r="F89" s="24" t="str">
        <x:v>Al Mostafa Street, Nabatieh</x:v>
      </x:c>
      <x:c r="G89" s="24" t="str">
        <x:v>+961 81 993 119</x:v>
      </x:c>
      <x:c r="H89" s="44" t="n">
        <x:v>5</x:v>
      </x:c>
      <x:c r="I89" s="46" t="n">
        <x:v>1</x:v>
      </x:c>
      <x:c r="J89" s="24" t="str">
        <x:v>12:00–23:00 daily</x:v>
      </x:c>
      <x:c r="K89" s="24" t="str">
        <x:v>High</x:v>
      </x:c>
      <x:c r="L89" s="24" t="str">
        <x:v>Current local-business listing</x:v>
      </x:c>
      <x:c r="M89" s="24" t="str"/>
      <x:c r="N89" s="24" t="str">
        <x:v>https://www.google.com/maps/search/?api=1&amp;query=Stormy+resto+cafe%2C+Nabatieh%2C+Lebanon</x:v>
      </x:c>
      <x:c r="O89" s="24" t="str"/>
      <x:c r="P89" s="24" t="str">
        <x:v>2026-09-07</x:v>
      </x:c>
    </x:row>
    <x:row r="90">
      <x:c r="A90" s="24" t="n">
        <x:v>89</x:v>
      </x:c>
      <x:c r="B90" s="24" t="str">
        <x:v>Nabatieh</x:v>
      </x:c>
      <x:c r="C90" s="24" t="str">
        <x:v>LIFE Resto Cafe</x:v>
      </x:c>
      <x:c r="D90" s="24" t="str">
        <x:v>Resto-cafe</x:v>
      </x:c>
      <x:c r="E90" s="24" t="str">
        <x:v>Needs verification</x:v>
      </x:c>
      <x:c r="F90" s="24" t="str">
        <x:v>Main Street, Nabatieh</x:v>
      </x:c>
      <x:c r="G90" s="24" t="str">
        <x:v>+961 81 638 673</x:v>
      </x:c>
      <x:c r="H90" s="44" t="n">
        <x:v>4</x:v>
      </x:c>
      <x:c r="I90" s="46" t="n">
        <x:v>1</x:v>
      </x:c>
      <x:c r="J90" s="24" t="str">
        <x:v>12:00–00:00 daily</x:v>
      </x:c>
      <x:c r="K90" s="24" t="str">
        <x:v>Medium</x:v>
      </x:c>
      <x:c r="L90" s="24" t="str">
        <x:v>Earlier current local-business discovery</x:v>
      </x:c>
      <x:c r="M90" s="24" t="str"/>
      <x:c r="N90" s="24" t="str">
        <x:v>https://www.google.com/maps/search/?api=1&amp;query=LIFE+Resto+Cafe%2C+Nabatieh%2C+Lebanon</x:v>
      </x:c>
      <x:c r="O90" s="24" t="str"/>
      <x:c r="P90" s="24" t="str">
        <x:v>2026-09-07</x:v>
      </x:c>
    </x:row>
    <x:row r="91">
      <x:c r="A91" s="24" t="n">
        <x:v>90</x:v>
      </x:c>
      <x:c r="B91" s="24" t="str">
        <x:v>Nabatieh</x:v>
      </x:c>
      <x:c r="C91" s="24" t="str">
        <x:v>Cafe Ole</x:v>
      </x:c>
      <x:c r="D91" s="24" t="str">
        <x:v>Cafe / lounge</x:v>
      </x:c>
      <x:c r="E91" s="24" t="str">
        <x:v>Needs verification</x:v>
      </x:c>
      <x:c r="F91" s="24" t="str">
        <x:v>Hay El Maslakh / university zone, Nabatieh</x:v>
      </x:c>
      <x:c r="G91" s="24" t="str"/>
      <x:c r="H91" s="44"/>
      <x:c r="I91" s="46"/>
      <x:c r="J91" s="24" t="str"/>
      <x:c r="K91" s="24" t="str">
        <x:v>Medium</x:v>
      </x:c>
      <x:c r="L91" s="24" t="str">
        <x:v>Tripadvisor/local discovery</x:v>
      </x:c>
      <x:c r="M91" s="24" t="str"/>
      <x:c r="N91" s="24" t="str">
        <x:v>https://www.google.com/maps/search/?api=1&amp;query=Cafe+Ole%2C+Nabatieh%2C+Lebanon</x:v>
      </x:c>
      <x:c r="O91" s="24" t="str">
        <x:v>Coffee, food, shisha, Wi-Fi/outdoor seating were reported.</x:v>
      </x:c>
      <x:c r="P91" s="24" t="str">
        <x:v>2026-09-07</x:v>
      </x:c>
    </x:row>
    <x:row r="92">
      <x:c r="A92" s="24" t="n">
        <x:v>91</x:v>
      </x:c>
      <x:c r="B92" s="24" t="str">
        <x:v>Nabatieh</x:v>
      </x:c>
      <x:c r="C92" s="24" t="str">
        <x:v>Terrasse resto cafe (تراس)</x:v>
      </x:c>
      <x:c r="D92" s="24" t="str">
        <x:v>Resto-cafe</x:v>
      </x:c>
      <x:c r="E92" s="24" t="str">
        <x:v>Needs verification</x:v>
      </x:c>
      <x:c r="F92" s="24" t="str">
        <x:v>University Street, Nabatieh</x:v>
      </x:c>
      <x:c r="G92" s="24" t="str"/>
      <x:c r="H92" s="44"/>
      <x:c r="I92" s="46"/>
      <x:c r="J92" s="24" t="str"/>
      <x:c r="K92" s="24" t="str">
        <x:v>Medium</x:v>
      </x:c>
      <x:c r="L92" s="24" t="str">
        <x:v>Local discovery</x:v>
      </x:c>
      <x:c r="M92" s="24" t="str"/>
      <x:c r="N92" s="24" t="str">
        <x:v>https://www.google.com/maps/search/?api=1&amp;query=Terrasse+resto+cafe+%28%D8%AA%D8%B1%D8%A7%D8%B3%29%2C+Nabatieh%2C+Lebanon</x:v>
      </x:c>
      <x:c r="O92" s="24" t="str"/>
      <x:c r="P92" s="24" t="str">
        <x:v>2026-09-07</x:v>
      </x:c>
    </x:row>
    <x:row r="93">
      <x:c r="A93" s="24" t="n">
        <x:v>92</x:v>
      </x:c>
      <x:c r="B93" s="24" t="str">
        <x:v>Nabatieh</x:v>
      </x:c>
      <x:c r="C93" s="24" t="str">
        <x:v>قهوة السرغاني (Qahwet Al Sarghani)</x:v>
      </x:c>
      <x:c r="D93" s="24" t="str">
        <x:v>Traditional cafe</x:v>
      </x:c>
      <x:c r="E93" s="24" t="str">
        <x:v>Needs verification</x:v>
      </x:c>
      <x:c r="F93" s="24" t="str">
        <x:v>Nabatieh</x:v>
      </x:c>
      <x:c r="G93" s="24" t="str"/>
      <x:c r="H93" s="44"/>
      <x:c r="I93" s="46"/>
      <x:c r="J93" s="24" t="str"/>
      <x:c r="K93" s="24" t="str">
        <x:v>Medium</x:v>
      </x:c>
      <x:c r="L93" s="24" t="str">
        <x:v>Arabic/local discovery</x:v>
      </x:c>
      <x:c r="M93" s="24" t="str"/>
      <x:c r="N93" s="24" t="str">
        <x:v>https://www.google.com/maps/search/?api=1&amp;query=%D9%82%D9%87%D9%88%D8%A9+%D8%A7%D9%84%D8%B3%D8%B1%D8%BA%D8%A7%D9%86%D9%8A+%28Qahwet+Al+Sarghani%29%2C+Nabatieh%2C+Lebanon</x:v>
      </x:c>
      <x:c r="O93" s="24" t="str"/>
      <x:c r="P93" s="24" t="str">
        <x:v>2026-09-07</x:v>
      </x:c>
    </x:row>
    <x:row r="94">
      <x:c r="A94" s="24" t="n">
        <x:v>93</x:v>
      </x:c>
      <x:c r="B94" s="24" t="str">
        <x:v>Nabatieh</x:v>
      </x:c>
      <x:c r="C94" s="24" t="str">
        <x:v>قهوة - Al Tahta</x:v>
      </x:c>
      <x:c r="D94" s="24" t="str">
        <x:v>Traditional cafe</x:v>
      </x:c>
      <x:c r="E94" s="24" t="str">
        <x:v>Needs verification</x:v>
      </x:c>
      <x:c r="F94" s="24" t="str">
        <x:v>Al Tahta area, Nabatieh</x:v>
      </x:c>
      <x:c r="G94" s="24" t="str"/>
      <x:c r="H94" s="44"/>
      <x:c r="I94" s="46"/>
      <x:c r="J94" s="24" t="str"/>
      <x:c r="K94" s="24" t="str">
        <x:v>Low</x:v>
      </x:c>
      <x:c r="L94" s="24" t="str">
        <x:v>Arabic/local discovery</x:v>
      </x:c>
      <x:c r="M94" s="24" t="str"/>
      <x:c r="N94" s="24" t="str">
        <x:v>https://www.google.com/maps/search/?api=1&amp;query=%D9%82%D9%87%D9%88%D8%A9+-+Al+Tahta%2C+Nabatieh%2C+Lebanon</x:v>
      </x:c>
      <x:c r="O94" s="24" t="str">
        <x:v>Generic name; exact business identity needs confirmation.</x:v>
      </x:c>
      <x:c r="P94" s="24" t="str">
        <x:v>2026-09-07</x:v>
      </x:c>
    </x:row>
    <x:row r="95">
      <x:c r="A95" s="24" t="n">
        <x:v>94</x:v>
      </x:c>
      <x:c r="B95" s="24" t="str">
        <x:v>Nabatieh</x:v>
      </x:c>
      <x:c r="C95" s="24" t="str">
        <x:v>Chapters Library Restocafe</x:v>
      </x:c>
      <x:c r="D95" s="24" t="str">
        <x:v>Library resto-cafe</x:v>
      </x:c>
      <x:c r="E95" s="24" t="str">
        <x:v>Listed current</x:v>
      </x:c>
      <x:c r="F95" s="24" t="str">
        <x:v>Nabatieh</x:v>
      </x:c>
      <x:c r="G95" s="24" t="str"/>
      <x:c r="H95" s="44"/>
      <x:c r="I95" s="46"/>
      <x:c r="J95" s="24" t="str"/>
      <x:c r="K95" s="24" t="str">
        <x:v>Medium</x:v>
      </x:c>
      <x:c r="L95" s="24" t="str">
        <x:v>Pulled current shop page</x:v>
      </x:c>
      <x:c r="M95" s="24" t="str">
        <x:v>https://www.pulled.coffee/shop/chapters-library-restocafe-sidon</x:v>
      </x:c>
      <x:c r="N95" s="24" t="str">
        <x:v>https://www.google.com/maps/search/?api=1&amp;query=Chapters+Library+Restocafe%2C+Nabatieh%2C+Lebanon</x:v>
      </x:c>
      <x:c r="O95" s="24" t="str"/>
      <x:c r="P95" s="24" t="str">
        <x:v>2026-09-07</x:v>
      </x:c>
    </x:row>
    <x:row r="96">
      <x:c r="A96" s="24" t="n">
        <x:v>95</x:v>
      </x:c>
      <x:c r="B96" s="24" t="str">
        <x:v>Nabatieh</x:v>
      </x:c>
      <x:c r="C96" s="24" t="str">
        <x:v>Street 18 Resto Cafe</x:v>
      </x:c>
      <x:c r="D96" s="24" t="str">
        <x:v>Resto-cafe</x:v>
      </x:c>
      <x:c r="E96" s="24" t="str">
        <x:v>Needs verification</x:v>
      </x:c>
      <x:c r="F96" s="24" t="str">
        <x:v>University Road, Nabatieh</x:v>
      </x:c>
      <x:c r="G96" s="24" t="str"/>
      <x:c r="H96" s="44"/>
      <x:c r="I96" s="46"/>
      <x:c r="J96" s="24" t="str"/>
      <x:c r="K96" s="24" t="str">
        <x:v>Medium</x:v>
      </x:c>
      <x:c r="L96" s="24" t="str">
        <x:v>Local/social discovery</x:v>
      </x:c>
      <x:c r="M96" s="24" t="str"/>
      <x:c r="N96" s="24" t="str">
        <x:v>https://www.google.com/maps/search/?api=1&amp;query=Street+18+Resto+Cafe%2C+Nabatieh%2C+Lebanon</x:v>
      </x:c>
      <x:c r="O96" s="24" t="str"/>
      <x:c r="P96" s="24" t="str">
        <x:v>2026-09-07</x:v>
      </x:c>
    </x:row>
    <x:row r="97">
      <x:c r="A97" s="24" t="n">
        <x:v>96</x:v>
      </x:c>
      <x:c r="B97" s="24" t="str">
        <x:v>Nabatieh</x:v>
      </x:c>
      <x:c r="C97" s="24" t="str">
        <x:v>Let's Cheese Resto &amp; Cafe</x:v>
      </x:c>
      <x:c r="D97" s="24" t="str">
        <x:v>Resto-cafe</x:v>
      </x:c>
      <x:c r="E97" s="24" t="str">
        <x:v>Active - verified</x:v>
      </x:c>
      <x:c r="F97" s="24" t="str">
        <x:v>9FGM+HWX, Nabatieh</x:v>
      </x:c>
      <x:c r="G97" s="24" t="str">
        <x:v>+961 76 553 039</x:v>
      </x:c>
      <x:c r="H97" s="44" t="n">
        <x:v>4.4</x:v>
      </x:c>
      <x:c r="I97" s="46" t="n">
        <x:v>50</x:v>
      </x:c>
      <x:c r="J97" s="24" t="str">
        <x:v>Tue–Thu/Sun 13:00–00:00; Fri–Sat 13:00–01:00</x:v>
      </x:c>
      <x:c r="K97" s="24" t="str">
        <x:v>High</x:v>
      </x:c>
      <x:c r="L97" s="24" t="str">
        <x:v>Current local-business listing</x:v>
      </x:c>
      <x:c r="M97" s="24" t="str"/>
      <x:c r="N97" s="24" t="str">
        <x:v>https://www.google.com/maps/search/?api=1&amp;query=Let%27s+Cheese+Resto+%26+Cafe%2C+Nabatieh%2C+Lebanon</x:v>
      </x:c>
      <x:c r="O97" s="24" t="str"/>
      <x:c r="P97" s="24" t="str">
        <x:v>2026-09-07</x:v>
      </x:c>
    </x:row>
    <x:row r="98">
      <x:c r="A98" s="24" t="n">
        <x:v>97</x:v>
      </x:c>
      <x:c r="B98" s="24" t="str">
        <x:v>Nabatieh</x:v>
      </x:c>
      <x:c r="C98" s="24" t="str">
        <x:v>Abbas Nasser cafe</x:v>
      </x:c>
      <x:c r="D98" s="24" t="str">
        <x:v>Cafe</x:v>
      </x:c>
      <x:c r="E98" s="24" t="str">
        <x:v>Active - verified</x:v>
      </x:c>
      <x:c r="F98" s="24" t="str">
        <x:v>CCP8+QRF, Nabatieh</x:v>
      </x:c>
      <x:c r="G98" s="24" t="str">
        <x:v>+961 70 776 703</x:v>
      </x:c>
      <x:c r="H98" s="44" t="n">
        <x:v>4</x:v>
      </x:c>
      <x:c r="I98" s="46" t="n">
        <x:v>4</x:v>
      </x:c>
      <x:c r="J98" s="24" t="str"/>
      <x:c r="K98" s="24" t="str">
        <x:v>High</x:v>
      </x:c>
      <x:c r="L98" s="24" t="str">
        <x:v>Current local-business listing</x:v>
      </x:c>
      <x:c r="M98" s="24" t="str"/>
      <x:c r="N98" s="24" t="str">
        <x:v>https://www.google.com/maps/search/?api=1&amp;query=Abbas+Nasser+cafe%2C+Nabatieh%2C+Lebanon</x:v>
      </x:c>
      <x:c r="O98" s="24" t="str"/>
      <x:c r="P98" s="24" t="str">
        <x:v>2026-09-07</x:v>
      </x:c>
    </x:row>
    <x:row r="99">
      <x:c r="A99" s="24" t="n">
        <x:v>98</x:v>
      </x:c>
      <x:c r="B99" s="24" t="str">
        <x:v>Nabatieh</x:v>
      </x:c>
      <x:c r="C99" s="24" t="str">
        <x:v>Satiha (سطيحة)</x:v>
      </x:c>
      <x:c r="D99" s="24" t="str">
        <x:v>Cultural cafe</x:v>
      </x:c>
      <x:c r="E99" s="24" t="str">
        <x:v>Listed current</x:v>
      </x:c>
      <x:c r="F99" s="24" t="str">
        <x:v>Nabatieh</x:v>
      </x:c>
      <x:c r="G99" s="24" t="str"/>
      <x:c r="H99" s="44"/>
      <x:c r="I99" s="46"/>
      <x:c r="J99" s="24" t="str"/>
      <x:c r="K99" s="24" t="str">
        <x:v>Medium</x:v>
      </x:c>
      <x:c r="L99" s="24" t="str">
        <x:v>Waradana article, 29 Jun 2026</x:v>
      </x:c>
      <x:c r="M99" s="24" t="str">
        <x:v>https://waradana.com/article/262514-%D8%A3%D9%81%D8%B6%D9%84-%D9%83%D8%A7%D9%81%D9%8A%D9%87%D8%A7%D8%AA-%D8%A7%D9%84%D9%86%D8%A8%D8%B7%D9%8A%D8%A9</x:v>
      </x:c>
      <x:c r="N99" s="24" t="str">
        <x:v>https://www.google.com/maps/search/?api=1&amp;query=Satiha+%28%D8%B3%D8%B7%D9%8A%D8%AD%D8%A9%29%2C+Nabatieh%2C+Lebanon</x:v>
      </x:c>
      <x:c r="O99" s="24" t="str"/>
      <x:c r="P99" s="24" t="str">
        <x:v>2026-09-07</x:v>
      </x:c>
    </x:row>
    <x:row r="100">
      <x:c r="A100" s="24" t="n">
        <x:v>99</x:v>
      </x:c>
      <x:c r="B100" s="24" t="str">
        <x:v>Nabatieh</x:v>
      </x:c>
      <x:c r="C100" s="24" t="str">
        <x:v>Abou Ali Cafe - Menshiye</x:v>
      </x:c>
      <x:c r="D100" s="24" t="str">
        <x:v>Cafe</x:v>
      </x:c>
      <x:c r="E100" s="24" t="str">
        <x:v>Needs verification</x:v>
      </x:c>
      <x:c r="F100" s="24" t="str">
        <x:v>Menshiye / Nabatieh</x:v>
      </x:c>
      <x:c r="G100" s="24" t="str">
        <x:v>+961 70 692 097</x:v>
      </x:c>
      <x:c r="H100" s="44" t="n">
        <x:v>4</x:v>
      </x:c>
      <x:c r="I100" s="46"/>
      <x:c r="J100" s="24" t="str"/>
      <x:c r="K100" s="24" t="str">
        <x:v>Medium</x:v>
      </x:c>
      <x:c r="L100" s="24" t="str">
        <x:v>Cybo Nabatieh cafe directory</x:v>
      </x:c>
      <x:c r="M100" s="24" t="str">
        <x:v>https://www.cybo.com/LB/nabatieh/cafes/</x:v>
      </x:c>
      <x:c r="N100" s="24" t="str">
        <x:v>https://www.google.com/maps/search/?api=1&amp;query=Abou+Ali+Cafe+-+Menshiye%2C+Nabatieh%2C+Lebanon</x:v>
      </x:c>
      <x:c r="O100" s="24" t="str"/>
      <x:c r="P100" s="24" t="str">
        <x:v>2026-09-07</x:v>
      </x:c>
    </x:row>
    <x:row r="101">
      <x:c r="A101" s="24" t="n">
        <x:v>100</x:v>
      </x:c>
      <x:c r="B101" s="24" t="str">
        <x:v>Nabatieh</x:v>
      </x:c>
      <x:c r="C101" s="24" t="str">
        <x:v>Krema</x:v>
      </x:c>
      <x:c r="D101" s="24" t="str">
        <x:v>Cafe / dessert</x:v>
      </x:c>
      <x:c r="E101" s="24" t="str">
        <x:v>Needs verification</x:v>
      </x:c>
      <x:c r="F101" s="24" t="str">
        <x:v>Nabatieh</x:v>
      </x:c>
      <x:c r="G101" s="24" t="str"/>
      <x:c r="H101" s="44"/>
      <x:c r="I101" s="46"/>
      <x:c r="J101" s="24" t="str"/>
      <x:c r="K101" s="24" t="str">
        <x:v>Low</x:v>
      </x:c>
      <x:c r="L101" s="24" t="str">
        <x:v>WenRayhin/local directory discovery</x:v>
      </x:c>
      <x:c r="M101" s="24" t="str"/>
      <x:c r="N101" s="24" t="str">
        <x:v>https://www.google.com/maps/search/?api=1&amp;query=Krema%2C+Nabatieh%2C+Lebanon</x:v>
      </x:c>
      <x:c r="O101" s="24" t="str"/>
      <x:c r="P101" s="24" t="str">
        <x:v>2026-09-07</x:v>
      </x:c>
    </x:row>
    <x:row r="102">
      <x:c r="A102" s="24" t="n">
        <x:v>101</x:v>
      </x:c>
      <x:c r="B102" s="24" t="str">
        <x:v>Nabatieh</x:v>
      </x:c>
      <x:c r="C102" s="24" t="str">
        <x:v>Mawqif Al Nabatieh</x:v>
      </x:c>
      <x:c r="D102" s="24" t="str">
        <x:v>Cafe / food-drink</x:v>
      </x:c>
      <x:c r="E102" s="24" t="str">
        <x:v>Needs verification</x:v>
      </x:c>
      <x:c r="F102" s="24" t="str">
        <x:v>Nabatieh</x:v>
      </x:c>
      <x:c r="G102" s="24" t="str"/>
      <x:c r="H102" s="44"/>
      <x:c r="I102" s="46"/>
      <x:c r="J102" s="24" t="str"/>
      <x:c r="K102" s="24" t="str">
        <x:v>Low</x:v>
      </x:c>
      <x:c r="L102" s="24" t="str">
        <x:v>WenRayhin/local directory discovery</x:v>
      </x:c>
      <x:c r="M102" s="24" t="str"/>
      <x:c r="N102" s="24" t="str">
        <x:v>https://www.google.com/maps/search/?api=1&amp;query=Mawqif+Al+Nabatieh%2C+Nabatieh%2C+Lebanon</x:v>
      </x:c>
      <x:c r="O102" s="24" t="str"/>
      <x:c r="P102" s="24" t="str">
        <x:v>2026-09-07</x:v>
      </x:c>
    </x:row>
    <x:row r="103">
      <x:c r="A103" s="24" t="n">
        <x:v>102</x:v>
      </x:c>
      <x:c r="B103" s="24" t="str">
        <x:v>Nabatieh</x:v>
      </x:c>
      <x:c r="C103" s="24" t="str">
        <x:v>Ahweh Al Hsahs</x:v>
      </x:c>
      <x:c r="D103" s="24" t="str">
        <x:v>Traditional cafe</x:v>
      </x:c>
      <x:c r="E103" s="24" t="str">
        <x:v>Needs verification</x:v>
      </x:c>
      <x:c r="F103" s="24" t="str">
        <x:v>Nabatieh</x:v>
      </x:c>
      <x:c r="G103" s="24" t="str"/>
      <x:c r="H103" s="44"/>
      <x:c r="I103" s="46"/>
      <x:c r="J103" s="24" t="str"/>
      <x:c r="K103" s="24" t="str">
        <x:v>Low</x:v>
      </x:c>
      <x:c r="L103" s="24" t="str">
        <x:v>WenRayhin/local directory discovery</x:v>
      </x:c>
      <x:c r="M103" s="24" t="str"/>
      <x:c r="N103" s="24" t="str">
        <x:v>https://www.google.com/maps/search/?api=1&amp;query=Ahweh+Al+Hsahs%2C+Nabatieh%2C+Lebanon</x:v>
      </x:c>
      <x:c r="O103" s="24" t="str"/>
      <x:c r="P103" s="24" t="str">
        <x:v>2026-09-07</x:v>
      </x:c>
    </x:row>
    <x:row r="104">
      <x:c r="A104" s="24" t="n">
        <x:v>103</x:v>
      </x:c>
      <x:c r="B104" s="24" t="str">
        <x:v>Nabatieh</x:v>
      </x:c>
      <x:c r="C104" s="24" t="str">
        <x:v>Al Khal Café</x:v>
      </x:c>
      <x:c r="D104" s="24" t="str">
        <x:v>Cafe</x:v>
      </x:c>
      <x:c r="E104" s="24" t="str">
        <x:v>Needs verification</x:v>
      </x:c>
      <x:c r="F104" s="24" t="str">
        <x:v>Nabatieh</x:v>
      </x:c>
      <x:c r="G104" s="24" t="str"/>
      <x:c r="H104" s="44"/>
      <x:c r="I104" s="46"/>
      <x:c r="J104" s="24" t="str"/>
      <x:c r="K104" s="24" t="str">
        <x:v>Low</x:v>
      </x:c>
      <x:c r="L104" s="24" t="str">
        <x:v>WenRayhin/local directory discovery</x:v>
      </x:c>
      <x:c r="M104" s="24" t="str"/>
      <x:c r="N104" s="24" t="str">
        <x:v>https://www.google.com/maps/search/?api=1&amp;query=Al+Khal+Caf%C3%A9%2C+Nabatieh%2C+Lebanon</x:v>
      </x:c>
      <x:c r="O104" s="24" t="str"/>
      <x:c r="P104" s="24" t="str">
        <x:v>2026-09-07</x:v>
      </x:c>
    </x:row>
    <x:row r="105">
      <x:c r="A105" s="24" t="n">
        <x:v>104</x:v>
      </x:c>
      <x:c r="B105" s="24" t="str">
        <x:v>Nabatieh</x:v>
      </x:c>
      <x:c r="C105" s="24" t="str">
        <x:v>Cafe Lailac</x:v>
      </x:c>
      <x:c r="D105" s="24" t="str">
        <x:v>Cafe</x:v>
      </x:c>
      <x:c r="E105" s="24" t="str">
        <x:v>Needs verification</x:v>
      </x:c>
      <x:c r="F105" s="24" t="str">
        <x:v>Nabatieh</x:v>
      </x:c>
      <x:c r="G105" s="24" t="str"/>
      <x:c r="H105" s="44"/>
      <x:c r="I105" s="46"/>
      <x:c r="J105" s="24" t="str"/>
      <x:c r="K105" s="24" t="str">
        <x:v>Low</x:v>
      </x:c>
      <x:c r="L105" s="24" t="str">
        <x:v>WenRayhin/local directory discovery</x:v>
      </x:c>
      <x:c r="M105" s="24" t="str"/>
      <x:c r="N105" s="24" t="str">
        <x:v>https://www.google.com/maps/search/?api=1&amp;query=Cafe+Lailac%2C+Nabatieh%2C+Lebanon</x:v>
      </x:c>
      <x:c r="O105" s="24" t="str"/>
      <x:c r="P105" s="24" t="str">
        <x:v>2026-09-07</x:v>
      </x:c>
    </x:row>
    <x:row r="106">
      <x:c r="A106" s="24" t="n">
        <x:v>105</x:v>
      </x:c>
      <x:c r="B106" s="24" t="str">
        <x:v>Nabatieh</x:v>
      </x:c>
      <x:c r="C106" s="24" t="str">
        <x:v>Cafe Meel Ya Ghazil</x:v>
      </x:c>
      <x:c r="D106" s="24" t="str">
        <x:v>Cafe</x:v>
      </x:c>
      <x:c r="E106" s="24" t="str">
        <x:v>Needs verification</x:v>
      </x:c>
      <x:c r="F106" s="24" t="str">
        <x:v>Nabatieh</x:v>
      </x:c>
      <x:c r="G106" s="24" t="str"/>
      <x:c r="H106" s="44"/>
      <x:c r="I106" s="46"/>
      <x:c r="J106" s="24" t="str"/>
      <x:c r="K106" s="24" t="str">
        <x:v>Low</x:v>
      </x:c>
      <x:c r="L106" s="24" t="str">
        <x:v>WenRayhin/local directory discovery</x:v>
      </x:c>
      <x:c r="M106" s="24" t="str"/>
      <x:c r="N106" s="24" t="str">
        <x:v>https://www.google.com/maps/search/?api=1&amp;query=Cafe+Meel+Ya+Ghazil%2C+Nabatieh%2C+Lebanon</x:v>
      </x:c>
      <x:c r="O106" s="24" t="str"/>
      <x:c r="P106" s="24" t="str">
        <x:v>2026-09-07</x:v>
      </x:c>
    </x:row>
    <x:row r="107">
      <x:c r="A107" s="24" t="n">
        <x:v>106</x:v>
      </x:c>
      <x:c r="B107" s="24" t="str">
        <x:v>Nabatieh</x:v>
      </x:c>
      <x:c r="C107" s="24" t="str">
        <x:v>Escobar</x:v>
      </x:c>
      <x:c r="D107" s="24" t="str">
        <x:v>Coffee shop</x:v>
      </x:c>
      <x:c r="E107" s="24" t="str">
        <x:v>Needs verification</x:v>
      </x:c>
      <x:c r="F107" s="24" t="str">
        <x:v>CF2J+92C / Nabatieh-area listing</x:v>
      </x:c>
      <x:c r="G107" s="24" t="str">
        <x:v>+961 71 921 969</x:v>
      </x:c>
      <x:c r="H107" s="44" t="n">
        <x:v>5</x:v>
      </x:c>
      <x:c r="I107" s="46" t="n">
        <x:v>1</x:v>
      </x:c>
      <x:c r="J107" s="24" t="str">
        <x:v>09:00–23:00 daily</x:v>
      </x:c>
      <x:c r="K107" s="24" t="str">
        <x:v>Low</x:v>
      </x:c>
      <x:c r="L107" s="24" t="str">
        <x:v>Earlier local-business discovery</x:v>
      </x:c>
      <x:c r="M107" s="24" t="str"/>
      <x:c r="N107" s="24" t="str">
        <x:v>https://www.google.com/maps/search/?api=1&amp;query=Escobar%2C+Nabatieh%2C+Lebanon</x:v>
      </x:c>
      <x:c r="O107" s="24" t="str">
        <x:v>Exact village/sub-area remains uncertain.</x:v>
      </x:c>
      <x:c r="P107" s="24" t="str">
        <x:v>2026-09-07</x:v>
      </x:c>
    </x:row>
    <x:row r="108">
      <x:c r="A108" s="24" t="n">
        <x:v>107</x:v>
      </x:c>
      <x:c r="B108" s="24" t="str">
        <x:v>Nabatieh</x:v>
      </x:c>
      <x:c r="C108" s="24" t="str">
        <x:v>Smiley Indoor Playground – Resto Cafe</x:v>
      </x:c>
      <x:c r="D108" s="24" t="str">
        <x:v>Playground resto-cafe</x:v>
      </x:c>
      <x:c r="E108" s="24" t="str">
        <x:v>Needs verification</x:v>
      </x:c>
      <x:c r="F108" s="24" t="str">
        <x:v>Nabatieh</x:v>
      </x:c>
      <x:c r="G108" s="24" t="str"/>
      <x:c r="H108" s="44"/>
      <x:c r="I108" s="46"/>
      <x:c r="J108" s="24" t="str"/>
      <x:c r="K108" s="24" t="str">
        <x:v>Medium</x:v>
      </x:c>
      <x:c r="L108" s="24" t="str">
        <x:v>Local directory discovery</x:v>
      </x:c>
      <x:c r="M108" s="24" t="str"/>
      <x:c r="N108" s="24" t="str">
        <x:v>https://www.google.com/maps/search/?api=1&amp;query=Smiley+Indoor+Playground+%E2%80%93+Resto+Cafe%2C+Nabatieh%2C+Lebanon</x:v>
      </x:c>
      <x:c r="O108" s="24" t="str"/>
      <x:c r="P108" s="24" t="str">
        <x:v>2026-09-07</x:v>
      </x:c>
    </x:row>
    <x:row r="109">
      <x:c r="A109" s="24" t="n">
        <x:v>108</x:v>
      </x:c>
      <x:c r="B109" s="24" t="str">
        <x:v>Nabatieh</x:v>
      </x:c>
      <x:c r="C109" s="24" t="str">
        <x:v>MÖGE TEE</x:v>
      </x:c>
      <x:c r="D109" s="24" t="str">
        <x:v>Bubble tea / cafe</x:v>
      </x:c>
      <x:c r="E109" s="24" t="str">
        <x:v>Closed</x:v>
      </x:c>
      <x:c r="F109" s="24" t="str">
        <x:v>Nabatieh Highway, Nabatieh</x:v>
      </x:c>
      <x:c r="G109" s="24" t="str">
        <x:v>+961 3 085 803</x:v>
      </x:c>
      <x:c r="H109" s="44" t="n">
        <x:v>4.1</x:v>
      </x:c>
      <x:c r="I109" s="46" t="n">
        <x:v>149</x:v>
      </x:c>
      <x:c r="J109" s="24" t="str"/>
      <x:c r="K109" s="24" t="str">
        <x:v>High</x:v>
      </x:c>
      <x:c r="L109" s="24" t="str">
        <x:v>Current local-business listing</x:v>
      </x:c>
      <x:c r="M109" s="24" t="str"/>
      <x:c r="N109" s="24" t="str">
        <x:v>https://www.google.com/maps/search/?api=1&amp;query=M%C3%96GE+TEE%2C+Nabatieh%2C+Lebanon</x:v>
      </x:c>
      <x:c r="O109" s="24" t="str">
        <x:v>Current listing explicitly says Permanently Closed; older third-party pages still show hours.</x:v>
      </x:c>
      <x:c r="P109" s="24" t="str">
        <x:v>2026-09-07</x:v>
      </x:c>
    </x:row>
    <x:row r="110">
      <x:c r="A110" s="24" t="n">
        <x:v>109</x:v>
      </x:c>
      <x:c r="B110" s="24" t="str">
        <x:v>Nabatieh Al-Fawqa</x:v>
      </x:c>
      <x:c r="C110" s="24" t="str">
        <x:v>AGORA COFFEE SHOP</x:v>
      </x:c>
      <x:c r="D110" s="24" t="str">
        <x:v>Coffee shop</x:v>
      </x:c>
      <x:c r="E110" s="24" t="str">
        <x:v>Active - verified</x:v>
      </x:c>
      <x:c r="F110" s="24" t="str">
        <x:v>Al Fawqa, Nabatieh</x:v>
      </x:c>
      <x:c r="G110" s="24" t="str">
        <x:v>+961 3 033 616</x:v>
      </x:c>
      <x:c r="H110" s="44" t="n">
        <x:v>4.2</x:v>
      </x:c>
      <x:c r="I110" s="46" t="n">
        <x:v>24</x:v>
      </x:c>
      <x:c r="J110" s="24" t="str">
        <x:v>07:00–00:30 daily</x:v>
      </x:c>
      <x:c r="K110" s="24" t="str">
        <x:v>High</x:v>
      </x:c>
      <x:c r="L110" s="24" t="str">
        <x:v>Current local-business listing</x:v>
      </x:c>
      <x:c r="M110" s="24" t="str"/>
      <x:c r="N110" s="24" t="str">
        <x:v>https://www.google.com/maps/search/?api=1&amp;query=AGORA+COFFEE+SHOP%2C+Nabatieh+Al-Fawqa%2C+Lebanon</x:v>
      </x:c>
      <x:c r="O110" s="24" t="str"/>
      <x:c r="P110" s="24" t="str">
        <x:v>2026-09-07</x:v>
      </x:c>
    </x:row>
    <x:row r="111">
      <x:c r="A111" s="24" t="n">
        <x:v>110</x:v>
      </x:c>
      <x:c r="B111" s="24" t="str">
        <x:v>Nabatieh Al-Fawqa</x:v>
      </x:c>
      <x:c r="C111" s="24" t="str">
        <x:v>Cafe Local</x:v>
      </x:c>
      <x:c r="D111" s="24" t="str">
        <x:v>Coffee shop / restaurant</x:v>
      </x:c>
      <x:c r="E111" s="24" t="str">
        <x:v>Closed</x:v>
      </x:c>
      <x:c r="F111" s="24" t="str">
        <x:v>Facing Al Sabbah School, Nabih Berri, Nabatieh Al-Fawqa</x:v>
      </x:c>
      <x:c r="G111" s="24" t="str">
        <x:v>+961 76 774 700</x:v>
      </x:c>
      <x:c r="H111" s="44" t="n">
        <x:v>5</x:v>
      </x:c>
      <x:c r="I111" s="46" t="n">
        <x:v>6</x:v>
      </x:c>
      <x:c r="J111" s="24" t="str"/>
      <x:c r="K111" s="24" t="str">
        <x:v>High</x:v>
      </x:c>
      <x:c r="L111" s="24" t="str">
        <x:v>Current local-business listing + older Pulled/Tripadvisor pages</x:v>
      </x:c>
      <x:c r="M111" s="24" t="str">
        <x:v>https://www.pulled.coffee/shop/cafe-local-sidon</x:v>
      </x:c>
      <x:c r="N111" s="24" t="str">
        <x:v>https://www.google.com/maps/search/?api=1&amp;query=Cafe+Local%2C+Nabatieh+Al-Fawqa%2C+Lebanon</x:v>
      </x:c>
      <x:c r="O111" s="24" t="str">
        <x:v>Current listing explicitly says Permanently Closed; older pages still show opening hours.</x:v>
      </x:c>
      <x:c r="P111" s="24" t="str">
        <x:v>2026-09-07</x:v>
      </x:c>
    </x:row>
    <x:row r="112">
      <x:c r="A112" s="24" t="n">
        <x:v>111</x:v>
      </x:c>
      <x:c r="B112" s="24" t="str">
        <x:v>Nemriyeh</x:v>
      </x:c>
      <x:c r="C112" s="24" t="str">
        <x:v>Khodor cafe</x:v>
      </x:c>
      <x:c r="D112" s="24" t="str">
        <x:v>Cafe</x:v>
      </x:c>
      <x:c r="E112" s="24" t="str">
        <x:v>Listed current</x:v>
      </x:c>
      <x:c r="F112" s="24" t="str">
        <x:v>Mainstreet, Nmairiyeh</x:v>
      </x:c>
      <x:c r="G112" s="24" t="str"/>
      <x:c r="H112" s="44" t="n">
        <x:v>5</x:v>
      </x:c>
      <x:c r="I112" s="46"/>
      <x:c r="J112" s="24" t="str"/>
      <x:c r="K112" s="24" t="str">
        <x:v>Medium</x:v>
      </x:c>
      <x:c r="L112" s="24" t="str">
        <x:v>Pulled current specialty-coffee directory</x:v>
      </x:c>
      <x:c r="M112" s="24" t="str">
        <x:v>https://www.pulled.coffee/city/sidon/specialty</x:v>
      </x:c>
      <x:c r="N112" s="24" t="str">
        <x:v>https://www.google.com/maps/search/?api=1&amp;query=Khodor+cafe%2C+Nemriyeh%2C+Lebanon</x:v>
      </x:c>
      <x:c r="O112" s="24" t="str"/>
      <x:c r="P112" s="24" t="str">
        <x:v>2026-09-07</x:v>
      </x:c>
    </x:row>
    <x:row r="113">
      <x:c r="A113" s="24" t="n">
        <x:v>112</x:v>
      </x:c>
      <x:c r="B113" s="24" t="str">
        <x:v>Nemriyeh</x:v>
      </x:c>
      <x:c r="C113" s="24" t="str">
        <x:v>إكسبرس بس الخال</x:v>
      </x:c>
      <x:c r="D113" s="24" t="str">
        <x:v>Express coffee shop</x:v>
      </x:c>
      <x:c r="E113" s="24" t="str">
        <x:v>Listed current</x:v>
      </x:c>
      <x:c r="F113" s="24" t="str">
        <x:v>Mafraq Nmairiyeh, Nabatieh main road</x:v>
      </x:c>
      <x:c r="G113" s="24" t="str"/>
      <x:c r="H113" s="44" t="n">
        <x:v>5</x:v>
      </x:c>
      <x:c r="I113" s="46"/>
      <x:c r="J113" s="24" t="str"/>
      <x:c r="K113" s="24" t="str">
        <x:v>Medium</x:v>
      </x:c>
      <x:c r="L113" s="24" t="str">
        <x:v>Pulled current specialty-coffee directory</x:v>
      </x:c>
      <x:c r="M113" s="24" t="str">
        <x:v>https://www.pulled.coffee/city/sidon/specialty</x:v>
      </x:c>
      <x:c r="N113" s="24" t="str">
        <x:v>https://www.google.com/maps/search/?api=1&amp;query=%D8%A5%D9%83%D8%B3%D8%A8%D8%B1%D8%B3+%D8%A8%D8%B3+%D8%A7%D9%84%D8%AE%D8%A7%D9%84%2C+Nemriyeh%2C+Lebanon</x:v>
      </x:c>
      <x:c r="O113" s="24" t="str"/>
      <x:c r="P113" s="24" t="str">
        <x:v>2026-09-07</x:v>
      </x:c>
    </x:row>
    <x:row r="114">
      <x:c r="A114" s="24" t="n">
        <x:v>113</x:v>
      </x:c>
      <x:c r="B114" s="24" t="str">
        <x:v>Roumine</x:v>
      </x:c>
      <x:c r="C114" s="24" t="str">
        <x:v>Hawa Roumine</x:v>
      </x:c>
      <x:c r="D114" s="24" t="str">
        <x:v>Cafeteria</x:v>
      </x:c>
      <x:c r="E114" s="24" t="str">
        <x:v>Active - verified</x:v>
      </x:c>
      <x:c r="F114" s="24" t="str">
        <x:v>Roumine</x:v>
      </x:c>
      <x:c r="G114" s="24" t="str">
        <x:v>+961 70 028 973</x:v>
      </x:c>
      <x:c r="H114" s="44" t="n">
        <x:v>5</x:v>
      </x:c>
      <x:c r="I114" s="46" t="n">
        <x:v>1</x:v>
      </x:c>
      <x:c r="J114" s="24" t="str">
        <x:v>Mon–Thu 15:00–02:00; Fri–Sun 10:00–02:00</x:v>
      </x:c>
      <x:c r="K114" s="24" t="str">
        <x:v>High</x:v>
      </x:c>
      <x:c r="L114" s="24" t="str">
        <x:v>Current local-business listing</x:v>
      </x:c>
      <x:c r="M114" s="24" t="str"/>
      <x:c r="N114" s="24" t="str">
        <x:v>https://www.google.com/maps/search/?api=1&amp;query=Hawa+Roumine%2C+Roumine%2C+Lebanon</x:v>
      </x:c>
      <x:c r="O114" s="24" t="str"/>
      <x:c r="P114" s="24" t="str">
        <x:v>2026-09-07</x:v>
      </x:c>
    </x:row>
    <x:row r="115">
      <x:c r="A115" s="24" t="n">
        <x:v>114</x:v>
      </x:c>
      <x:c r="B115" s="24" t="str">
        <x:v>Zawtar Al-Sharqiya</x:v>
      </x:c>
      <x:c r="C115" s="24" t="str">
        <x:v>Cafe abou haidar</x:v>
      </x:c>
      <x:c r="D115" s="24" t="str">
        <x:v>Cafe</x:v>
      </x:c>
      <x:c r="E115" s="24" t="str">
        <x:v>Listed current</x:v>
      </x:c>
      <x:c r="F115" s="24" t="str">
        <x:v>8FHH+95, Zawtar El Charqiyeh</x:v>
      </x:c>
      <x:c r="G115" s="24" t="str">
        <x:v>+961 3 180 949</x:v>
      </x:c>
      <x:c r="H115" s="44" t="n">
        <x:v>4.5</x:v>
      </x:c>
      <x:c r="I115" s="46"/>
      <x:c r="J115" s="24" t="str"/>
      <x:c r="K115" s="24" t="str">
        <x:v>Medium</x:v>
      </x:c>
      <x:c r="L115" s="24" t="str">
        <x:v>Cybo cafe directory</x:v>
      </x:c>
      <x:c r="M115" s="24" t="str">
        <x:v>https://www.cybo.com/LB/deir-mimas/cafes/</x:v>
      </x:c>
      <x:c r="N115" s="24" t="str">
        <x:v>https://www.google.com/maps/search/?api=1&amp;query=Cafe+abou+haidar%2C+Zawtar+Al-Sharqiya%2C+Lebanon</x:v>
      </x:c>
      <x:c r="O115" s="24" t="str"/>
      <x:c r="P115" s="24" t="str">
        <x:v>2026-09-07</x:v>
      </x:c>
    </x:row>
    <x:row r="116">
      <x:c r="A116" s="24" t="n">
        <x:v>115</x:v>
      </x:c>
      <x:c r="B116" s="24" t="str">
        <x:v>Zawtar Al-Sharqiya</x:v>
      </x:c>
      <x:c r="C116" s="24" t="str">
        <x:v>استراحه.دريم.لاند (Dream Land Rest Stop)</x:v>
      </x:c>
      <x:c r="D116" s="24" t="str">
        <x:v>Rest stop / cafe-related</x:v>
      </x:c>
      <x:c r="E116" s="24" t="str">
        <x:v>Listed current</x:v>
      </x:c>
      <x:c r="F116" s="24" t="str">
        <x:v>Zawtar El Charqiyeh</x:v>
      </x:c>
      <x:c r="G116" s="24" t="str"/>
      <x:c r="H116" s="44" t="n">
        <x:v>5</x:v>
      </x:c>
      <x:c r="I116" s="46"/>
      <x:c r="J116" s="24" t="str"/>
      <x:c r="K116" s="24" t="str">
        <x:v>Medium</x:v>
      </x:c>
      <x:c r="L116" s="24" t="str">
        <x:v>Pulled current specialty-coffee directory</x:v>
      </x:c>
      <x:c r="M116" s="24" t="str">
        <x:v>https://www.pulled.coffee/city/sidon/specialty</x:v>
      </x:c>
      <x:c r="N116" s="24" t="str">
        <x:v>https://www.google.com/maps/search/?api=1&amp;query=%D8%A7%D8%B3%D8%AA%D8%B1%D8%A7%D8%AD%D9%87.%D8%AF%D8%B1%D9%8A%D9%85.%D9%84%D8%A7%D9%86%D8%AF+%28Dream+Land+Rest+Stop%29%2C+Zawtar+Al-Sharqiya%2C+Lebanon</x:v>
      </x:c>
      <x:c r="O116" s="24" t="str"/>
      <x:c r="P116" s="24" t="str">
        <x:v>2026-09-07</x:v>
      </x:c>
    </x:row>
    <x:row r="117">
      <x:c r="A117" s="24" t="n">
        <x:v>116</x:v>
      </x:c>
      <x:c r="B117" s="24" t="str">
        <x:v>Zawtar Al-Sharqiya</x:v>
      </x:c>
      <x:c r="C117" s="24" t="str">
        <x:v>Sacctol</x:v>
      </x:c>
      <x:c r="D117" s="24" t="str">
        <x:v>Coffee-related venue</x:v>
      </x:c>
      <x:c r="E117" s="24" t="str">
        <x:v>Listed current</x:v>
      </x:c>
      <x:c r="F117" s="24" t="str">
        <x:v>Zawtar El Charqiyeh</x:v>
      </x:c>
      <x:c r="G117" s="24" t="str"/>
      <x:c r="H117" s="44" t="n">
        <x:v>5</x:v>
      </x:c>
      <x:c r="I117" s="46"/>
      <x:c r="J117" s="24" t="str"/>
      <x:c r="K117" s="24" t="str">
        <x:v>Medium</x:v>
      </x:c>
      <x:c r="L117" s="24" t="str">
        <x:v>Pulled current specialty-coffee directory</x:v>
      </x:c>
      <x:c r="M117" s="24" t="str">
        <x:v>https://www.pulled.coffee/city/sidon/specialty</x:v>
      </x:c>
      <x:c r="N117" s="24" t="str">
        <x:v>https://www.google.com/maps/search/?api=1&amp;query=Sacctol%2C+Zawtar+Al-Sharqiya%2C+Lebanon</x:v>
      </x:c>
      <x:c r="O117" s="24" t="str"/>
      <x:c r="P117" s="24" t="str">
        <x:v>2026-09-07</x:v>
      </x:c>
    </x:row>
    <x:row r="118">
      <x:c r="A118" s="24" t="n">
        <x:v>117</x:v>
      </x:c>
      <x:c r="B118" s="24" t="str">
        <x:v>Zibdeen</x:v>
      </x:c>
      <x:c r="C118" s="24" t="str">
        <x:v>Naghrashat-نقرشات</x:v>
      </x:c>
      <x:c r="D118" s="24" t="str">
        <x:v>Coffee shop</x:v>
      </x:c>
      <x:c r="E118" s="24" t="str">
        <x:v>Active - verified</x:v>
      </x:c>
      <x:c r="F118" s="24" t="str">
        <x:v>9FG8+RJQ, Zebdine</x:v>
      </x:c>
      <x:c r="G118" s="24" t="str"/>
      <x:c r="H118" s="44" t="n">
        <x:v>5</x:v>
      </x:c>
      <x:c r="I118" s="46" t="n">
        <x:v>1</x:v>
      </x:c>
      <x:c r="J118" s="24" t="str"/>
      <x:c r="K118" s="24" t="str">
        <x:v>High</x:v>
      </x:c>
      <x:c r="L118" s="24" t="str">
        <x:v>Current local-business listing</x:v>
      </x:c>
      <x:c r="M118" s="24" t="str"/>
      <x:c r="N118" s="24" t="str">
        <x:v>https://www.google.com/maps/search/?api=1&amp;query=Naghrashat-%D9%86%D9%82%D8%B1%D8%B4%D8%A7%D8%AA%2C+Zibdeen%2C+Lebanon</x:v>
      </x:c>
      <x:c r="O118" s="24" t="str"/>
      <x:c r="P118" s="24" t="str">
        <x:v>2026-09-07</x:v>
      </x:c>
    </x:row>
    <x:row r="119">
      <x:c r="A119" s="24" t="n">
        <x:v>118</x:v>
      </x:c>
      <x:c r="B119" s="24" t="str">
        <x:v>Zibdeen</x:v>
      </x:c>
      <x:c r="C119" s="24" t="str">
        <x:v>Elysium_fieldfromheaven</x:v>
      </x:c>
      <x:c r="D119" s="24" t="str">
        <x:v>Restaurant / cafe-like venue</x:v>
      </x:c>
      <x:c r="E119" s="24" t="str">
        <x:v>Needs verification</x:v>
      </x:c>
      <x:c r="F119" s="24" t="str">
        <x:v>Zibdeen / Nabatieh area</x:v>
      </x:c>
      <x:c r="G119" s="24" t="str">
        <x:v>+961 70 909 940</x:v>
      </x:c>
      <x:c r="H119" s="44" t="n">
        <x:v>4.4</x:v>
      </x:c>
      <x:c r="I119" s="46" t="n">
        <x:v>92</x:v>
      </x:c>
      <x:c r="J119" s="24" t="str"/>
      <x:c r="K119" s="24" t="str">
        <x:v>Medium</x:v>
      </x:c>
      <x:c r="L119" s="24" t="str">
        <x:v>Local media + current local-business result</x:v>
      </x:c>
      <x:c r="M119" s="24" t="str"/>
      <x:c r="N119" s="24" t="str">
        <x:v>https://www.google.com/maps/search/?api=1&amp;query=Elysium_fieldfromheaven%2C+Zibdeen%2C+Lebanon</x:v>
      </x:c>
      <x:c r="O119" s="24" t="str">
        <x:v>Mixed outdoor restaurant/tea/shisha venue; not a pure coffee shop.</x:v>
      </x:c>
      <x:c r="P119" s="24" t="str">
        <x:v>2026-09-07</x:v>
      </x:c>
    </x:row>
    <x:row r="120">
      <x:c r="A120" s="24" t="n">
        <x:v>119</x:v>
      </x:c>
      <x:c r="B120" s="24" t="str">
        <x:v>Zefta</x:v>
      </x:c>
      <x:c r="C120" s="24" t="str">
        <x:v>JAD.CAFE</x:v>
      </x:c>
      <x:c r="D120" s="24" t="str">
        <x:v>Cafe</x:v>
      </x:c>
      <x:c r="E120" s="24" t="str">
        <x:v>Active - verified</x:v>
      </x:c>
      <x:c r="F120" s="24" t="str">
        <x:v>C9VX+VXJ, Zefta</x:v>
      </x:c>
      <x:c r="G120" s="24" t="str"/>
      <x:c r="H120" s="44" t="n">
        <x:v>5</x:v>
      </x:c>
      <x:c r="I120" s="46" t="n">
        <x:v>1</x:v>
      </x:c>
      <x:c r="J120" s="24" t="str"/>
      <x:c r="K120" s="24" t="str">
        <x:v>High</x:v>
      </x:c>
      <x:c r="L120" s="24" t="str">
        <x:v>Current local-business listing</x:v>
      </x:c>
      <x:c r="M120" s="24" t="str"/>
      <x:c r="N120" s="24" t="str">
        <x:v>https://www.google.com/maps/search/?api=1&amp;query=JAD.CAFE%2C+Zefta%2C+Lebanon</x:v>
      </x:c>
      <x:c r="O120" s="24" t="str"/>
      <x:c r="P120" s="24" t="str">
        <x:v>2026-09-07</x:v>
      </x:c>
    </x:row>
    <x:row r="121">
      <x:c r="A121" s="24" t="n">
        <x:v>120</x:v>
      </x:c>
      <x:c r="B121" s="24" t="str">
        <x:v>Zefta</x:v>
      </x:c>
      <x:c r="C121" s="24" t="str">
        <x:v>Coffee Warehouse</x:v>
      </x:c>
      <x:c r="D121" s="24" t="str">
        <x:v>Coffee shop</x:v>
      </x:c>
      <x:c r="E121" s="24" t="str">
        <x:v>Active - verified</x:v>
      </x:c>
      <x:c r="F121" s="24" t="str">
        <x:v>Zefta</x:v>
      </x:c>
      <x:c r="G121" s="24" t="str">
        <x:v>+961 81 997 965</x:v>
      </x:c>
      <x:c r="H121" s="44"/>
      <x:c r="I121" s="46"/>
      <x:c r="J121" s="24" t="str">
        <x:v>Open 24 hours</x:v>
      </x:c>
      <x:c r="K121" s="24" t="str">
        <x:v>High</x:v>
      </x:c>
      <x:c r="L121" s="24" t="str">
        <x:v>Current local-business listing</x:v>
      </x:c>
      <x:c r="M121" s="24" t="str"/>
      <x:c r="N121" s="24" t="str">
        <x:v>https://www.google.com/maps/search/?api=1&amp;query=Coffee+Warehouse%2C+Zefta%2C+Lebanon</x:v>
      </x:c>
      <x:c r="O121" s="24" t="str"/>
      <x:c r="P121" s="24" t="str">
        <x:v>2026-09-07</x:v>
      </x:c>
    </x:row>
    <x:row r="122">
      <x:c r="A122" s="24" t="n">
        <x:v>121</x:v>
      </x:c>
      <x:c r="B122" s="24" t="str">
        <x:v>Zefta</x:v>
      </x:c>
      <x:c r="C122" s="24" t="str">
        <x:v>كافيه الهيبه</x:v>
      </x:c>
      <x:c r="D122" s="24" t="str">
        <x:v>Cafe</x:v>
      </x:c>
      <x:c r="E122" s="24" t="str">
        <x:v>Active - verified</x:v>
      </x:c>
      <x:c r="F122" s="24" t="str">
        <x:v>C9XX+88V, Zefta</x:v>
      </x:c>
      <x:c r="G122" s="24" t="str">
        <x:v>+961 3 924 240</x:v>
      </x:c>
      <x:c r="H122" s="44" t="n">
        <x:v>3</x:v>
      </x:c>
      <x:c r="I122" s="46" t="n">
        <x:v>2</x:v>
      </x:c>
      <x:c r="J122" s="24" t="str">
        <x:v>09:00–17:00 daily</x:v>
      </x:c>
      <x:c r="K122" s="24" t="str">
        <x:v>High</x:v>
      </x:c>
      <x:c r="L122" s="24" t="str">
        <x:v>Current local-business listing</x:v>
      </x:c>
      <x:c r="M122" s="24" t="str"/>
      <x:c r="N122" s="24" t="str">
        <x:v>https://www.google.com/maps/search/?api=1&amp;query=%D9%83%D8%A7%D9%81%D9%8A%D9%87+%D8%A7%D9%84%D9%87%D9%8A%D8%A8%D9%87%2C+Zefta%2C+Lebanon</x:v>
      </x:c>
      <x:c r="O122" s="24" t="str"/>
      <x:c r="P122" s="24" t="str">
        <x:v>2026-09-07</x:v>
      </x:c>
    </x:row>
    <x:row r="123">
      <x:c r="A123" s="24" t="n">
        <x:v>122</x:v>
      </x:c>
      <x:c r="B123" s="24" t="str">
        <x:v>Nabatieh Al-Tahta</x:v>
      </x:c>
      <x:c r="C123" s="24" t="str">
        <x:v>Choco Sushi</x:v>
      </x:c>
      <x:c r="D123" s="24" t="str">
        <x:v>Coffee shop / dessert</x:v>
      </x:c>
      <x:c r="E123" s="24" t="str">
        <x:v>Active - verified</x:v>
      </x:c>
      <x:c r="F123" s="24" t="str">
        <x:v>9FRQ+HCV, Al Tahta, Nabatieh</x:v>
      </x:c>
      <x:c r="G123" s="24" t="str">
        <x:v>+961 70 780 261</x:v>
      </x:c>
      <x:c r="H123" s="44" t="n">
        <x:v>4.7</x:v>
      </x:c>
      <x:c r="I123" s="46" t="n">
        <x:v>31</x:v>
      </x:c>
      <x:c r="J123" s="24" t="str">
        <x:v>10:00–00:00 daily</x:v>
      </x:c>
      <x:c r="K123" s="24" t="str">
        <x:v>High</x:v>
      </x:c>
      <x:c r="L123" s="24" t="str">
        <x:v>Current local-business listing</x:v>
      </x:c>
      <x:c r="M123" s="24" t="str"/>
      <x:c r="N123" s="24" t="str">
        <x:v>https://www.google.com/maps/search/?api=1&amp;query=Choco+Sushi%2C+Nabatieh+Al-Tahta%2C+Lebanon</x:v>
      </x:c>
      <x:c r="O123" s="24" t="str"/>
      <x:c r="P123" s="24" t="str">
        <x:v>2026-09-07</x:v>
      </x:c>
    </x:row>
    <x:row r="124">
      <x:c r="A124" s="24" t="n">
        <x:v>123</x:v>
      </x:c>
      <x:c r="B124" s="24" t="str">
        <x:v>Nabatieh Al-Tahta</x:v>
      </x:c>
      <x:c r="C124" s="24" t="str">
        <x:v>Coco café</x:v>
      </x:c>
      <x:c r="D124" s="24" t="str">
        <x:v>Cafe</x:v>
      </x:c>
      <x:c r="E124" s="24" t="str">
        <x:v>Listed current</x:v>
      </x:c>
      <x:c r="F124" s="24" t="str">
        <x:v>Mahmoud Fakih, Nabatiyeh El Tahta</x:v>
      </x:c>
      <x:c r="G124" s="24" t="str">
        <x:v>+961 81 221 064</x:v>
      </x:c>
      <x:c r="H124" s="44" t="n">
        <x:v>4</x:v>
      </x:c>
      <x:c r="I124" s="46" t="n">
        <x:v>3</x:v>
      </x:c>
      <x:c r="J124" s="24" t="str"/>
      <x:c r="K124" s="24" t="str">
        <x:v>Medium</x:v>
      </x:c>
      <x:c r="L124" s="24" t="str">
        <x:v>WenRayhin/local-business discovery</x:v>
      </x:c>
      <x:c r="M124" s="24" t="str">
        <x:v>https://wenrayhin.com/en/places/coco-cafe-nabatieh</x:v>
      </x:c>
      <x:c r="N124" s="24" t="str">
        <x:v>https://www.google.com/maps/search/?api=1&amp;query=Coco+caf%C3%A9%2C+Nabatieh+Al-Tahta%2C+Lebanon</x:v>
      </x:c>
      <x:c r="O124" s="24" t="str"/>
      <x:c r="P124" s="24" t="str">
        <x:v>2026-09-07</x:v>
      </x:c>
    </x:row>
    <x:row r="125">
      <x:c r="A125" s="24" t="n">
        <x:v>124</x:v>
      </x:c>
      <x:c r="B125" s="24" t="str">
        <x:v>Nabatieh Al-Tahta</x:v>
      </x:c>
      <x:c r="C125" s="24" t="str">
        <x:v>Brew corner</x:v>
      </x:c>
      <x:c r="D125" s="24" t="str">
        <x:v>Coffee shop</x:v>
      </x:c>
      <x:c r="E125" s="24" t="str">
        <x:v>Listed current</x:v>
      </x:c>
      <x:c r="F125" s="24" t="str">
        <x:v>Main Street, Nabatiyeh El Tahta</x:v>
      </x:c>
      <x:c r="G125" s="24" t="str">
        <x:v>+961 81 829 093</x:v>
      </x:c>
      <x:c r="H125" s="44"/>
      <x:c r="I125" s="46"/>
      <x:c r="J125" s="24" t="str"/>
      <x:c r="K125" s="24" t="str">
        <x:v>Medium</x:v>
      </x:c>
      <x:c r="L125" s="24" t="str">
        <x:v>Pulled current shop page</x:v>
      </x:c>
      <x:c r="M125" s="24" t="str">
        <x:v>https://www.pulled.coffee/shop/brew-corner-sidon</x:v>
      </x:c>
      <x:c r="N125" s="24" t="str">
        <x:v>https://www.google.com/maps/search/?api=1&amp;query=Brew+corner%2C+Nabatieh+Al-Tahta%2C+Lebanon</x:v>
      </x:c>
      <x:c r="O125" s="24" t="str"/>
      <x:c r="P125" s="24" t="str">
        <x:v>2026-09-07</x:v>
      </x:c>
    </x:row>
    <x:row r="126">
      <x:c r="A126" s="24" t="n">
        <x:v>125</x:v>
      </x:c>
      <x:c r="B126" s="24" t="str">
        <x:v>Nabatieh Al-Tahta</x:v>
      </x:c>
      <x:c r="C126" s="24" t="str">
        <x:v>Coffeedose</x:v>
      </x:c>
      <x:c r="D126" s="24" t="str">
        <x:v>Specialty coffee</x:v>
      </x:c>
      <x:c r="E126" s="24" t="str">
        <x:v>Listed current</x:v>
      </x:c>
      <x:c r="F126" s="24" t="str">
        <x:v>Hay El Jameaat, Nabatiyeh El Tahta</x:v>
      </x:c>
      <x:c r="G126" s="24" t="str"/>
      <x:c r="H126" s="44"/>
      <x:c r="I126" s="46"/>
      <x:c r="J126" s="24" t="str"/>
      <x:c r="K126" s="24" t="str">
        <x:v>Medium</x:v>
      </x:c>
      <x:c r="L126" s="24" t="str">
        <x:v>Pulled current shop page</x:v>
      </x:c>
      <x:c r="M126" s="24" t="str">
        <x:v>https://www.pulled.coffee/shop/coffeedose-sidon</x:v>
      </x:c>
      <x:c r="N126" s="24" t="str">
        <x:v>https://www.google.com/maps/search/?api=1&amp;query=Coffeedose%2C+Nabatieh+Al-Tahta%2C+Lebanon</x:v>
      </x:c>
      <x:c r="O126" s="24" t="str"/>
      <x:c r="P126" s="24" t="str">
        <x:v>2026-09-07</x:v>
      </x:c>
    </x:row>
    <x:row r="127">
      <x:c r="A127" s="24" t="n">
        <x:v>126</x:v>
      </x:c>
      <x:c r="B127" s="24" t="str">
        <x:v>Nabatieh Al-Tahta</x:v>
      </x:c>
      <x:c r="C127" s="24" t="str">
        <x:v>Shake it</x:v>
      </x:c>
      <x:c r="D127" s="24" t="str">
        <x:v>Coffee-related venue</x:v>
      </x:c>
      <x:c r="E127" s="24" t="str">
        <x:v>Listed current</x:v>
      </x:c>
      <x:c r="F127" s="24" t="str">
        <x:v>33°22'50.8"N 35°28'59.8"E, Nabatiyeh El Tahta</x:v>
      </x:c>
      <x:c r="G127" s="24" t="str"/>
      <x:c r="H127" s="44"/>
      <x:c r="I127" s="46"/>
      <x:c r="J127" s="24" t="str"/>
      <x:c r="K127" s="24" t="str">
        <x:v>Medium</x:v>
      </x:c>
      <x:c r="L127" s="24" t="str">
        <x:v>Pulled current coffee directory</x:v>
      </x:c>
      <x:c r="M127" s="24" t="str">
        <x:v>https://www.pulled.coffee/city/sidon</x:v>
      </x:c>
      <x:c r="N127" s="24" t="str">
        <x:v>https://www.google.com/maps/search/?api=1&amp;query=Shake+it%2C+Nabatieh+Al-Tahta%2C+Lebanon</x:v>
      </x:c>
      <x:c r="O127" s="24" t="str"/>
      <x:c r="P127" s="24" t="str">
        <x:v>2026-09-07</x:v>
      </x:c>
    </x:row>
    <x:row r="128">
      <x:c r="A128" s="24" t="n">
        <x:v>127</x:v>
      </x:c>
      <x:c r="B128" s="24" t="str">
        <x:v>Nabatieh Al-Tahta</x:v>
      </x:c>
      <x:c r="C128" s="24" t="str">
        <x:v>Abbass Nahle</x:v>
      </x:c>
      <x:c r="D128" s="24" t="str">
        <x:v>Coffee-related venue</x:v>
      </x:c>
      <x:c r="E128" s="24" t="str">
        <x:v>Listed current</x:v>
      </x:c>
      <x:c r="F128" s="24" t="str">
        <x:v>South Hospital area, Nabatiyeh El Tahta</x:v>
      </x:c>
      <x:c r="G128" s="24" t="str"/>
      <x:c r="H128" s="44"/>
      <x:c r="I128" s="46"/>
      <x:c r="J128" s="24" t="str"/>
      <x:c r="K128" s="24" t="str">
        <x:v>Medium</x:v>
      </x:c>
      <x:c r="L128" s="24" t="str">
        <x:v>Pulled current coffee directory</x:v>
      </x:c>
      <x:c r="M128" s="24" t="str">
        <x:v>https://www.pulled.coffee/coffee-near-me/sidon</x:v>
      </x:c>
      <x:c r="N128" s="24" t="str">
        <x:v>https://www.google.com/maps/search/?api=1&amp;query=Abbass+Nahle%2C+Nabatieh+Al-Tahta%2C+Lebanon</x:v>
      </x:c>
      <x:c r="O128" s="24" t="str"/>
      <x:c r="P128" s="24" t="str">
        <x:v>2026-09-07</x:v>
      </x:c>
    </x:row>
    <x:row r="129">
      <x:c r="A129" s="24" t="n">
        <x:v>128</x:v>
      </x:c>
      <x:c r="B129" s="24" t="str">
        <x:v>Nabatieh Al-Tahta</x:v>
      </x:c>
      <x:c r="C129" s="24" t="str">
        <x:v>caffe yasmine</x:v>
      </x:c>
      <x:c r="D129" s="24" t="str">
        <x:v>Cafe</x:v>
      </x:c>
      <x:c r="E129" s="24" t="str">
        <x:v>Listed current</x:v>
      </x:c>
      <x:c r="F129" s="24" t="str">
        <x:v>Hay il Saraya, Nabatiyeh El Tahta</x:v>
      </x:c>
      <x:c r="G129" s="24" t="str">
        <x:v>+961 71 523 955</x:v>
      </x:c>
      <x:c r="H129" s="44" t="n">
        <x:v>4.5</x:v>
      </x:c>
      <x:c r="I129" s="46" t="n">
        <x:v>11</x:v>
      </x:c>
      <x:c r="J129" s="24" t="str">
        <x:v>Open 24 hours</x:v>
      </x:c>
      <x:c r="K129" s="24" t="str">
        <x:v>Medium</x:v>
      </x:c>
      <x:c r="L129" s="24" t="str">
        <x:v>Restaurant Guru current page</x:v>
      </x:c>
      <x:c r="M129" s="24" t="str">
        <x:v>https://es.restaurantguru.com/caffe-yasmine-Nabatiyeh-El-Tahta</x:v>
      </x:c>
      <x:c r="N129" s="24" t="str">
        <x:v>https://www.google.com/maps/search/?api=1&amp;query=caffe+yasmine%2C+Nabatieh+Al-Tahta%2C+Lebanon</x:v>
      </x:c>
      <x:c r="O129" s="24" t="str">
        <x:v>Older Cybo listing shows a different phone; verify phone before outreach.</x:v>
      </x:c>
      <x:c r="P129" s="24" t="str">
        <x:v>2026-09-07</x:v>
      </x:c>
    </x:row>
  </x:sheetData>
  <x:conditionalFormatting sqref="E2:E129">
    <x:cfRule type="expression" dxfId="0" priority="1">
      <x:formula>E2="Active - verified"</x:formula>
    </x:cfRule>
    <x:cfRule type="expression" dxfId="1" priority="2">
      <x:formula>E2="Needs verification"</x:formula>
    </x:cfRule>
    <x:cfRule type="expression" dxfId="2" priority="3">
      <x:formula>OR(E2="Closed",E2="Status conflict")</x:formula>
    </x:cfRule>
  </x:conditionalFormatting>
  <x:conditionalFormatting sqref="K2:K129">
    <x:cfRule type="expression" dxfId="3" priority="4">
      <x:formula>K2="High"</x:formula>
    </x:cfRule>
    <x:cfRule type="expression" dxfId="4" priority="5">
      <x:formula>K2="Low"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92ab074f964c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0" hidden="0" customWidth="1"/>
    <x:col min="4" max="4" width="55" hidden="0" customWidth="1"/>
  </x:cols>
  <x:sheetData>
    <x:row r="1" ht="34" customHeight="1">
      <x:c r="A1" s="26" t="str">
        <x:v>Original #</x:v>
      </x:c>
      <x:c r="B1" s="26" t="str">
        <x:v>Original User Entry</x:v>
      </x:c>
      <x:c r="C1" s="26" t="str">
        <x:v>Canonical Research Unit</x:v>
      </x:c>
      <x:c r="D1" s="26" t="str">
        <x:v>Normalization Note</x:v>
      </x:c>
    </x:row>
    <x:row r="2">
      <x:c r="A2" s="24" t="n">
        <x:v>1</x:v>
      </x:c>
      <x:c r="B2" s="24" t="str">
        <x:v>Adchit</x:v>
      </x:c>
      <x:c r="C2" s="24" t="str">
        <x:v>Adchit</x:v>
      </x:c>
      <x:c r="D2" s="24" t="str"/>
    </x:row>
    <x:row r="3">
      <x:c r="A3" s="24" t="n">
        <x:v>2</x:v>
      </x:c>
      <x:c r="B3" s="24" t="str">
        <x:v>Ain Qana</x:v>
      </x:c>
      <x:c r="C3" s="24" t="str">
        <x:v>Ain Qana</x:v>
      </x:c>
      <x:c r="D3" s="24" t="str"/>
    </x:row>
    <x:row r="4">
      <x:c r="A4" s="24" t="n">
        <x:v>3</x:v>
      </x:c>
      <x:c r="B4" s="24" t="str">
        <x:v>Ansar</x:v>
      </x:c>
      <x:c r="C4" s="24" t="str">
        <x:v>Ansar</x:v>
      </x:c>
      <x:c r="D4" s="24" t="str"/>
    </x:row>
    <x:row r="5">
      <x:c r="A5" s="24" t="n">
        <x:v>4</x:v>
      </x:c>
      <x:c r="B5" s="24" t="str">
        <x:v>Arabsalim</x:v>
      </x:c>
      <x:c r="C5" s="24" t="str">
        <x:v>Arabsalim</x:v>
      </x:c>
      <x:c r="D5" s="24" t="str"/>
    </x:row>
    <x:row r="6">
      <x:c r="A6" s="24" t="n">
        <x:v>5</x:v>
      </x:c>
      <x:c r="B6" s="24" t="str">
        <x:v>Arnoun</x:v>
      </x:c>
      <x:c r="C6" s="24" t="str">
        <x:v>Arnoun</x:v>
      </x:c>
      <x:c r="D6" s="24" t="str"/>
    </x:row>
    <x:row r="7">
      <x:c r="A7" s="24" t="n">
        <x:v>6</x:v>
      </x:c>
      <x:c r="B7" s="24" t="str">
        <x:v>Bariqaa / Breikaa</x:v>
      </x:c>
      <x:c r="C7" s="24" t="str">
        <x:v>Bariqaa / Breikaa</x:v>
      </x:c>
      <x:c r="D7" s="24" t="str"/>
    </x:row>
    <x:row r="8">
      <x:c r="A8" s="24" t="n">
        <x:v>7</x:v>
      </x:c>
      <x:c r="B8" s="24" t="str">
        <x:v>Al-Sharqiya</x:v>
      </x:c>
      <x:c r="C8" s="24" t="str">
        <x:v>Al-Sharqiya</x:v>
      </x:c>
      <x:c r="D8" s="24" t="str"/>
    </x:row>
    <x:row r="9">
      <x:c r="A9" s="24" t="n">
        <x:v>8</x:v>
      </x:c>
      <x:c r="B9" s="24" t="str">
        <x:v>Choukeen</x:v>
      </x:c>
      <x:c r="C9" s="24" t="str">
        <x:v>Choukeen</x:v>
      </x:c>
      <x:c r="D9" s="24" t="str"/>
    </x:row>
    <x:row r="10">
      <x:c r="A10" s="24" t="n">
        <x:v>9</x:v>
      </x:c>
      <x:c r="B10" s="24" t="str">
        <x:v>Deir Al-Zahrani</x:v>
      </x:c>
      <x:c r="C10" s="24" t="str">
        <x:v>Deir Al-Zahrani</x:v>
      </x:c>
      <x:c r="D10" s="24" t="str"/>
    </x:row>
    <x:row r="11">
      <x:c r="A11" s="24" t="n">
        <x:v>10</x:v>
      </x:c>
      <x:c r="B11" s="24" t="str">
        <x:v>Doueir</x:v>
      </x:c>
      <x:c r="C11" s="24" t="str">
        <x:v>Doueir</x:v>
      </x:c>
      <x:c r="D11" s="24" t="str"/>
    </x:row>
    <x:row r="12">
      <x:c r="A12" s="24" t="n">
        <x:v>11</x:v>
      </x:c>
      <x:c r="B12" s="24" t="str">
        <x:v>Aaba / Ebba</x:v>
      </x:c>
      <x:c r="C12" s="24" t="str">
        <x:v>Aaba / Ebba</x:v>
      </x:c>
      <x:c r="D12" s="24" t="str"/>
    </x:row>
    <x:row r="13">
      <x:c r="A13" s="24" t="n">
        <x:v>12</x:v>
      </x:c>
      <x:c r="B13" s="24" t="str">
        <x:v>Habbouch</x:v>
      </x:c>
      <x:c r="C13" s="24" t="str">
        <x:v>Habbouch</x:v>
      </x:c>
      <x:c r="D13" s="24" t="str"/>
    </x:row>
    <x:row r="14">
      <x:c r="A14" s="24" t="n">
        <x:v>13</x:v>
      </x:c>
      <x:c r="B14" s="24" t="str">
        <x:v>Harouf</x:v>
      </x:c>
      <x:c r="C14" s="24" t="str">
        <x:v>Harouf</x:v>
      </x:c>
      <x:c r="D14" s="24" t="str"/>
    </x:row>
    <x:row r="15">
      <x:c r="A15" s="24" t="n">
        <x:v>14</x:v>
      </x:c>
      <x:c r="B15" s="24" t="str">
        <x:v>Houmine Al-Fawqa</x:v>
      </x:c>
      <x:c r="C15" s="24" t="str">
        <x:v>Houmine Al-Fawqa</x:v>
      </x:c>
      <x:c r="D15" s="24" t="str"/>
    </x:row>
    <x:row r="16">
      <x:c r="A16" s="24" t="n">
        <x:v>15</x:v>
      </x:c>
      <x:c r="B16" s="24" t="str">
        <x:v>Houmine Al-Tahta</x:v>
      </x:c>
      <x:c r="C16" s="24" t="str">
        <x:v>Houmine Al-Tahta</x:v>
      </x:c>
      <x:c r="D16" s="24" t="str"/>
    </x:row>
    <x:row r="17">
      <x:c r="A17" s="24" t="n">
        <x:v>16</x:v>
      </x:c>
      <x:c r="B17" s="24" t="str">
        <x:v>Jarjouh / Jargea</x:v>
      </x:c>
      <x:c r="C17" s="24" t="str">
        <x:v>Jarjouh / Jargea</x:v>
      </x:c>
      <x:c r="D17" s="24" t="str"/>
    </x:row>
    <x:row r="18">
      <x:c r="A18" s="24" t="n">
        <x:v>17</x:v>
      </x:c>
      <x:c r="B18" s="24" t="str">
        <x:v>Jbaa–Ain Bouswar</x:v>
      </x:c>
      <x:c r="C18" s="24" t="str">
        <x:v>Jbaa–Ain Bouswar</x:v>
      </x:c>
      <x:c r="D18" s="24" t="str"/>
    </x:row>
    <x:row r="19">
      <x:c r="A19" s="24" t="n">
        <x:v>18</x:v>
      </x:c>
      <x:c r="B19" s="24" t="str">
        <x:v>Jibchit</x:v>
      </x:c>
      <x:c r="C19" s="24" t="str">
        <x:v>Jibchit</x:v>
      </x:c>
      <x:c r="D19" s="24" t="str"/>
    </x:row>
    <x:row r="20">
      <x:c r="A20" s="24" t="n">
        <x:v>19</x:v>
      </x:c>
      <x:c r="B20" s="24" t="str">
        <x:v>Kaakaiyet Al-Jisr</x:v>
      </x:c>
      <x:c r="C20" s="24" t="str">
        <x:v>Kaakaiyet Al-Jisr</x:v>
      </x:c>
      <x:c r="D20" s="24" t="str"/>
    </x:row>
    <x:row r="21">
      <x:c r="A21" s="24" t="n">
        <x:v>20</x:v>
      </x:c>
      <x:c r="B21" s="24" t="str">
        <x:v>Kafr Fila</x:v>
      </x:c>
      <x:c r="C21" s="24" t="str">
        <x:v>Kafr Fila</x:v>
      </x:c>
      <x:c r="D21" s="24" t="str"/>
    </x:row>
    <x:row r="22">
      <x:c r="A22" s="24" t="n">
        <x:v>21</x:v>
      </x:c>
      <x:c r="B22" s="24" t="str">
        <x:v>Kafr Roummane</x:v>
      </x:c>
      <x:c r="C22" s="24" t="str">
        <x:v>Kafr Roummane</x:v>
      </x:c>
      <x:c r="D22" s="24" t="str"/>
    </x:row>
    <x:row r="23">
      <x:c r="A23" s="24" t="n">
        <x:v>22</x:v>
      </x:c>
      <x:c r="B23" s="24" t="str">
        <x:v>Kafr Sir</x:v>
      </x:c>
      <x:c r="C23" s="24" t="str">
        <x:v>Kafr Sir</x:v>
      </x:c>
      <x:c r="D23" s="24" t="str"/>
    </x:row>
    <x:row r="24">
      <x:c r="A24" s="24" t="n">
        <x:v>23</x:v>
      </x:c>
      <x:c r="B24" s="24" t="str">
        <x:v>Kafr Tibnit</x:v>
      </x:c>
      <x:c r="C24" s="24" t="str">
        <x:v>Kafr Tibnit</x:v>
      </x:c>
      <x:c r="D24" s="24" t="str"/>
    </x:row>
    <x:row r="25">
      <x:c r="A25" s="24" t="n">
        <x:v>24</x:v>
      </x:c>
      <x:c r="B25" s="24" t="str">
        <x:v>Al-Kfour</x:v>
      </x:c>
      <x:c r="C25" s="24" t="str">
        <x:v>Al-Kfour</x:v>
      </x:c>
      <x:c r="D25" s="24" t="str"/>
    </x:row>
    <x:row r="26">
      <x:c r="A26" s="24" t="n">
        <x:v>25</x:v>
      </x:c>
      <x:c r="B26" s="24" t="str">
        <x:v>Al-Qsaybeh</x:v>
      </x:c>
      <x:c r="C26" s="24" t="str">
        <x:v>Al-Qsaybeh</x:v>
      </x:c>
      <x:c r="D26" s="24" t="str"/>
    </x:row>
    <x:row r="27">
      <x:c r="A27" s="24" t="n">
        <x:v>26</x:v>
      </x:c>
      <x:c r="B27" s="24" t="str">
        <x:v>Mayfadoun</x:v>
      </x:c>
      <x:c r="C27" s="24" t="str">
        <x:v>Mayfadoun</x:v>
      </x:c>
      <x:c r="D27" s="24" t="str"/>
    </x:row>
    <x:row r="28">
      <x:c r="A28" s="24" t="n">
        <x:v>27</x:v>
      </x:c>
      <x:c r="B28" s="24" t="str">
        <x:v>Nabatieh</x:v>
      </x:c>
      <x:c r="C28" s="24" t="str">
        <x:v>Nabatieh</x:v>
      </x:c>
      <x:c r="D28" s="24" t="str">
        <x:v>Urban listings can overlap Al-Fawqa/Al-Tahta.</x:v>
      </x:c>
    </x:row>
    <x:row r="29">
      <x:c r="A29" s="24" t="n">
        <x:v>28</x:v>
      </x:c>
      <x:c r="B29" s="24" t="str">
        <x:v>Nabatieh Al-Fawqa</x:v>
      </x:c>
      <x:c r="C29" s="24" t="str">
        <x:v>Nabatieh Al-Fawqa</x:v>
      </x:c>
      <x:c r="D29" s="24" t="str">
        <x:v>Urban sub-area; some directories only say Nabatieh.</x:v>
      </x:c>
    </x:row>
    <x:row r="30">
      <x:c r="A30" s="24" t="n">
        <x:v>29</x:v>
      </x:c>
      <x:c r="B30" s="24" t="str">
        <x:v>Nemriyeh</x:v>
      </x:c>
      <x:c r="C30" s="24" t="str">
        <x:v>Nemriyeh</x:v>
      </x:c>
      <x:c r="D30" s="24" t="str"/>
    </x:row>
    <x:row r="31">
      <x:c r="A31" s="24" t="n">
        <x:v>30</x:v>
      </x:c>
      <x:c r="B31" s="24" t="str">
        <x:v>Roumine</x:v>
      </x:c>
      <x:c r="C31" s="24" t="str">
        <x:v>Roumine</x:v>
      </x:c>
      <x:c r="D31" s="24" t="str"/>
    </x:row>
    <x:row r="32">
      <x:c r="A32" s="24" t="n">
        <x:v>31</x:v>
      </x:c>
      <x:c r="B32" s="24" t="str">
        <x:v>Sarba</x:v>
      </x:c>
      <x:c r="C32" s="24" t="str">
        <x:v>Sarba</x:v>
      </x:c>
      <x:c r="D32" s="24" t="str"/>
    </x:row>
    <x:row r="33">
      <x:c r="A33" s="24" t="n">
        <x:v>32</x:v>
      </x:c>
      <x:c r="B33" s="24" t="str">
        <x:v>Seen / Siney</x:v>
      </x:c>
      <x:c r="C33" s="24" t="str">
        <x:v>Seen / Siney</x:v>
      </x:c>
      <x:c r="D33" s="24" t="str"/>
    </x:row>
    <x:row r="34">
      <x:c r="A34" s="24" t="n">
        <x:v>33</x:v>
      </x:c>
      <x:c r="B34" s="24" t="str">
        <x:v>Sir Al-Gharbiyeh</x:v>
      </x:c>
      <x:c r="C34" s="24" t="str">
        <x:v>Sir Al-Gharbiyeh</x:v>
      </x:c>
      <x:c r="D34" s="24" t="str"/>
    </x:row>
    <x:row r="35">
      <x:c r="A35" s="24" t="n">
        <x:v>34</x:v>
      </x:c>
      <x:c r="B35" s="24" t="str">
        <x:v>Yohmor Al-Shaqif</x:v>
      </x:c>
      <x:c r="C35" s="24" t="str">
        <x:v>Yohmor Al-Shaqif</x:v>
      </x:c>
      <x:c r="D35" s="24" t="str"/>
    </x:row>
    <x:row r="36">
      <x:c r="A36" s="24" t="n">
        <x:v>35</x:v>
      </x:c>
      <x:c r="B36" s="24" t="str">
        <x:v>Zawtar Al-Sharqiya</x:v>
      </x:c>
      <x:c r="C36" s="24" t="str">
        <x:v>Zawtar Al-Sharqiya</x:v>
      </x:c>
      <x:c r="D36" s="24" t="str"/>
    </x:row>
    <x:row r="37">
      <x:c r="A37" s="24" t="n">
        <x:v>36</x:v>
      </x:c>
      <x:c r="B37" s="24" t="str">
        <x:v>Zawtar Al-Gharbiya</x:v>
      </x:c>
      <x:c r="C37" s="24" t="str">
        <x:v>Zawtar Al-Gharbiya</x:v>
      </x:c>
      <x:c r="D37" s="24" t="str"/>
    </x:row>
    <x:row r="38">
      <x:c r="A38" s="24" t="n">
        <x:v>37</x:v>
      </x:c>
      <x:c r="B38" s="24" t="str">
        <x:v>Zibdeen</x:v>
      </x:c>
      <x:c r="C38" s="24" t="str">
        <x:v>Zibdeen</x:v>
      </x:c>
      <x:c r="D38" s="24" t="str"/>
    </x:row>
    <x:row r="39">
      <x:c r="A39" s="24" t="n">
        <x:v>38</x:v>
      </x:c>
      <x:c r="B39" s="24" t="str">
        <x:v>Zefta</x:v>
      </x:c>
      <x:c r="C39" s="24" t="str">
        <x:v>Zefta</x:v>
      </x:c>
      <x:c r="D39" s="24" t="str"/>
    </x:row>
    <x:row r="40">
      <x:c r="A40" s="24" t="n">
        <x:v>39</x:v>
      </x:c>
      <x:c r="B40" s="24" t="str">
        <x:v>Ezza</x:v>
      </x:c>
      <x:c r="C40" s="24" t="str">
        <x:v>Ezza</x:v>
      </x:c>
      <x:c r="D40" s="24" t="str"/>
    </x:row>
    <x:row r="41">
      <x:c r="A41" s="24" t="n">
        <x:v>40</x:v>
      </x:c>
      <x:c r="B41" s="24" t="str">
        <x:v>Rumine</x:v>
      </x:c>
      <x:c r="C41" s="24" t="str">
        <x:v>Roumine</x:v>
      </x:c>
      <x:c r="D41" s="24" t="str">
        <x:v>Duplicate/alternate spelling of Roumine.</x:v>
      </x:c>
    </x:row>
    <x:row r="42">
      <x:c r="A42" s="24" t="n">
        <x:v>41</x:v>
      </x:c>
      <x:c r="B42" s="24" t="str">
        <x:v>Ain Qana</x:v>
      </x:c>
      <x:c r="C42" s="24" t="str">
        <x:v>Ain Qana</x:v>
      </x:c>
      <x:c r="D42" s="24" t="str">
        <x:v>Duplicate entry in original list.</x:v>
      </x:c>
    </x:row>
    <x:row r="43">
      <x:c r="A43" s="24" t="n">
        <x:v>42</x:v>
      </x:c>
      <x:c r="B43" s="24" t="str">
        <x:v>Nabatieh Al-Tahta / central Nabatieh</x:v>
      </x:c>
      <x:c r="C43" s="24" t="str">
        <x:v>Nabatieh Al-Tahta</x:v>
      </x:c>
      <x:c r="D43" s="24" t="str">
        <x:v>Retained as Al-Tahta; 'central Nabatieh' overlaps the wider city.</x:v>
      </x:c>
    </x:row>
  </x:sheetData>
  <x:pageMargins left="0.7" right="0.7" top="0.75" bottom="0.75" header="0.3" footer="0.3"/>
  <x:tableParts count="1">
    <x:tablePart xmlns:r="http://schemas.openxmlformats.org/officeDocument/2006/relationships" r:id="Rad0fa960cf7a43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55" hidden="0" customWidth="1"/>
    <x:col min="4" max="4" width="70" hidden="0" customWidth="1"/>
  </x:cols>
  <x:sheetData>
    <x:row r="1" ht="34" customHeight="1">
      <x:c r="A1" s="26" t="str">
        <x:v>Canonical Locality</x:v>
      </x:c>
      <x:c r="B1" s="26" t="str">
        <x:v>Current Result</x:v>
      </x:c>
      <x:c r="C1" s="26" t="str">
        <x:v>Why It Is Not Counted as Zero Cafés</x:v>
      </x:c>
      <x:c r="D1" s="26" t="str">
        <x:v>Evidence / Follow-up Note</x:v>
      </x:c>
    </x:row>
    <x:row r="2">
      <x:c r="A2" s="24" t="str">
        <x:v>Arnoun</x:v>
      </x:c>
      <x:c r="B2" s="24" t="str">
        <x:v>No named dedicated café could be verified after exact Arnoun/أرنون coffee/cafe searches.</x:v>
      </x:c>
      <x:c r="C2" s="24" t="str">
        <x:v>Nearby Nabatieh cafés and similarly named Aramoun/Arnaoon results were excluded.</x:v>
      </x:c>
      <x:c r="D2" s="24" t="str">
        <x:v>Exact English + Arabic public-web/local-business searches completed on 2026-09-07.</x:v>
      </x:c>
    </x:row>
    <x:row r="3">
      <x:c r="A3" s="24" t="str">
        <x:v>Choukeen</x:v>
      </x:c>
      <x:c r="B3" s="24" t="str">
        <x:v>No named dedicated café verified in the current exact English/Arabic search.</x:v>
      </x:c>
      <x:c r="C3" s="24" t="str">
        <x:v>Restaurants on/near the Choukeen road were not counted as coffee shops.</x:v>
      </x:c>
      <x:c r="D3" s="24" t="str">
        <x:v>Exact English + Arabic public-web/local-business searches completed on 2026-09-07.</x:v>
      </x:c>
    </x:row>
    <x:row r="4">
      <x:c r="A4" s="24" t="str">
        <x:v>Aaba / Ebba</x:v>
      </x:c>
      <x:c r="B4" s="24" t="str">
        <x:v>No named dedicated café verified in the current exact English/Arabic search.</x:v>
      </x:c>
      <x:c r="C4" s="24" t="str">
        <x:v>Geographic/place pages surfaced, not a café business.</x:v>
      </x:c>
      <x:c r="D4" s="24" t="str">
        <x:v>Exact English + Arabic public-web/local-business searches completed on 2026-09-07.</x:v>
      </x:c>
    </x:row>
    <x:row r="5">
      <x:c r="A5" s="24" t="str">
        <x:v>Houmine Al-Tahta</x:v>
      </x:c>
      <x:c r="B5" s="24" t="str">
        <x:v>No dedicated named café securely tied to Houmine El-Tahta.</x:v>
      </x:c>
      <x:c r="C5" s="24" t="str">
        <x:v>بوظة حومين 1976 surfaced at Arab Sukkar; locality/café classification is not strong enough to assign.</x:v>
      </x:c>
      <x:c r="D5" s="24" t="str">
        <x:v>Exact English + Arabic public-web/local-business searches completed on 2026-09-07.</x:v>
      </x:c>
    </x:row>
    <x:row r="6">
      <x:c r="A6" s="24" t="str">
        <x:v>Jarjouh / Jargea</x:v>
      </x:c>
      <x:c r="B6" s="24" t="str">
        <x:v>No dedicated named café verified.</x:v>
      </x:c>
      <x:c r="C6" s="24" t="str">
        <x:v>Hawa Jarjouh is a restaurant/hospitality venue and was not reclassified as a coffee shop.</x:v>
      </x:c>
      <x:c r="D6" s="24" t="str">
        <x:v>Exact English + Arabic public-web/local-business searches completed on 2026-09-07.</x:v>
      </x:c>
    </x:row>
    <x:row r="7">
      <x:c r="A7" s="24" t="str">
        <x:v>Kafr Fila</x:v>
      </x:c>
      <x:c r="B7" s="24" t="str">
        <x:v>No current dedicated named café verified.</x:v>
      </x:c>
      <x:c r="C7" s="24" t="str">
        <x:v>An older tourism map lists Al-Moukhtar Resthouse, but it is a resthouse/restaurant and historical.</x:v>
      </x:c>
      <x:c r="D7" s="24" t="str">
        <x:v>Exact English + Arabic public-web/local-business searches completed on 2026-09-07.</x:v>
      </x:c>
    </x:row>
    <x:row r="8">
      <x:c r="A8" s="24" t="str">
        <x:v>Kafr Tibnit</x:v>
      </x:c>
      <x:c r="B8" s="24" t="str">
        <x:v>No current dedicated named café verified.</x:v>
      </x:c>
      <x:c r="C8" s="24" t="str">
        <x:v>Amana has a Kfar Tebnit fuel station, but no public evidence was found for a dedicated café business.</x:v>
      </x:c>
      <x:c r="D8" s="24" t="str">
        <x:v>Exact English + Arabic public-web/local-business searches completed on 2026-09-07.</x:v>
      </x:c>
    </x:row>
    <x:row r="9">
      <x:c r="A9" s="24" t="str">
        <x:v>Sarba</x:v>
      </x:c>
      <x:c r="B9" s="24" t="str">
        <x:v>No named café verified for Sarba El Nabatieh.</x:v>
      </x:c>
      <x:c r="C9" s="24" t="str">
        <x:v>Searches frequently returned Sarba Keserwan; those were excluded.</x:v>
      </x:c>
      <x:c r="D9" s="24" t="str">
        <x:v>Exact English + Arabic public-web/local-business searches completed on 2026-09-07.</x:v>
      </x:c>
    </x:row>
    <x:row r="10">
      <x:c r="A10" s="24" t="str">
        <x:v>Seen / Siney</x:v>
      </x:c>
      <x:c r="B10" s="24" t="str">
        <x:v>No named café verified in current exact searches.</x:v>
      </x:c>
      <x:c r="C10" s="24" t="str">
        <x:v>Alternate spellings were checked; no business with a secure locality match surfaced.</x:v>
      </x:c>
      <x:c r="D10" s="24" t="str">
        <x:v>Exact English + Arabic public-web/local-business searches completed on 2026-09-07.</x:v>
      </x:c>
    </x:row>
    <x:row r="11">
      <x:c r="A11" s="24" t="str">
        <x:v>Sir Al-Gharbiyeh</x:v>
      </x:c>
      <x:c r="B11" s="24" t="str">
        <x:v>No named café verified in current exact searches.</x:v>
      </x:c>
      <x:c r="C11" s="24" t="str">
        <x:v>Village identity was verified, but café searches returned no secure business match.</x:v>
      </x:c>
      <x:c r="D11" s="24" t="str">
        <x:v>Exact English + Arabic public-web/local-business searches completed on 2026-09-07.</x:v>
      </x:c>
    </x:row>
    <x:row r="12">
      <x:c r="A12" s="24" t="str">
        <x:v>Yohmor Al-Shaqif</x:v>
      </x:c>
      <x:c r="B12" s="24" t="str">
        <x:v>No named café business could be identified.</x:v>
      </x:c>
      <x:c r="C12" s="24" t="str">
        <x:v>Lebanon's National News Agency reported an unnamed café in Yohmor was struck in 2026, proving café activity but not providing a business name.</x:v>
      </x:c>
      <x:c r="D12" s="24" t="str">
        <x:v>NNA reported an unnamed café in Yohmor in 2026: https://www.nna-leb.gov.lb/ar/%D8%A3%D9%85%D9%86-%D9%88%D9%82%D8%B6%D8%A7%D8%A1/793600/%D9%85%D8%B3%D9%8A-%D8%B1%D8%A9-%D9%85%D8%B9%D8%A7%D8%AF%D9%8A%D8%A9-%D8%A3%D8%BA%D8%A7%D8%B1%D8%AA-%D8%B9%D9%84%D9%89-%D9%85%D9%82%D9%87%D9%89-%D9%88%D9%85%D8%AD%D9%84-%D9%84%D8%A7%D8%B4%D8%BA%D8%A7%D9%84-%D8%A7%D9%84%D8%A3%D9%84%D9%85%D9%8A%D9%86%D9%8A%D9%88</x:v>
      </x:c>
    </x:row>
    <x:row r="13">
      <x:c r="A13" s="24" t="str">
        <x:v>Zawtar Al-Gharbiya</x:v>
      </x:c>
      <x:c r="B13" s="24" t="str">
        <x:v>No named dedicated café verified in current exact searches.</x:v>
      </x:c>
      <x:c r="C13" s="24" t="str">
        <x:v>Nearby Zawtar Al-Sharqiya businesses were kept separate.</x:v>
      </x:c>
      <x:c r="D13" s="24" t="str">
        <x:v>Exact English + Arabic public-web/local-business searches completed on 2026-09-07.</x:v>
      </x:c>
    </x:row>
    <x:row r="14">
      <x:c r="A14" s="24" t="str">
        <x:v>Ezza</x:v>
      </x:c>
      <x:c r="B14" s="24" t="str">
        <x:v>No named dedicated café verified in current exact searches.</x:v>
      </x:c>
      <x:c r="C14" s="24" t="str">
        <x:v>Exact Aazze/عزه searches returned locality sources rather than a café business.</x:v>
      </x:c>
      <x:c r="D14" s="24" t="str">
        <x:v>Exact English + Arabic public-web/local-business searches completed on 2026-09-07.</x:v>
      </x:c>
    </x:row>
  </x:sheetData>
  <x:pageMargins left="0.7" right="0.7" top="0.75" bottom="0.75" header="0.3" footer="0.3"/>
  <x:tableParts count="1">
    <x:tablePart xmlns:r="http://schemas.openxmlformats.org/officeDocument/2006/relationships" r:id="R2edcbd492b2e4c3b"/>
  </x:tableParts>
</x:worksheet>
</file>